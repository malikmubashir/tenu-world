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iority Summary" sheetId="1" state="visible" r:id="rId3"/>
    <sheet name="Governance Model" sheetId="2" state="visible" r:id="rId4"/>
    <sheet name="Reste-à-Faire" sheetId="3" state="visible" r:id="rId5"/>
    <sheet name="Weekly Cadence" sheetId="4" state="visible" r:id="rId6"/>
    <sheet name="SQL Commands" sheetId="5" state="visible" r:id="rId7"/>
    <sheet name="Paperclip Status" sheetId="6" state="visible" r:id="rId8"/>
    <sheet name="Run History" sheetId="7" state="visible" r:id="rId9"/>
  </sheets>
  <definedNames>
    <definedName function="false" hidden="true" localSheetId="2" name="_xlnm._FilterDatabase" vbProcedure="false">'Reste-à-Faire'!$A$1:$J$1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<sst xmlns="http://schemas.openxmlformats.org/spreadsheetml/2006/main" count="1626" uniqueCount="771">
  <si>
    <t xml:space="preserve">TENU.WORLD — RESTE-À-FAIRE DASHBOARD</t>
  </si>
  <si>
    <t xml:space="preserve">Last reconciled: 2026-04-18 | Week 2-3 of build | Soft launch 11 May 2026</t>
  </si>
  <si>
    <t xml:space="preserve">BY PRIORITY</t>
  </si>
  <si>
    <t xml:space="preserve">Priority</t>
  </si>
  <si>
    <t xml:space="preserve">Open count</t>
  </si>
  <si>
    <t xml:space="preserve">Description</t>
  </si>
  <si>
    <t xml:space="preserve">P0 (Blocker)</t>
  </si>
  <si>
    <t xml:space="preserve">Must clear before soft launch 11 May 2026</t>
  </si>
  <si>
    <t xml:space="preserve">P1 (Launch)</t>
  </si>
  <si>
    <t xml:space="preserve">Required during Week 2-4 build window</t>
  </si>
  <si>
    <t xml:space="preserve">P2 (Post-launch)</t>
  </si>
  <si>
    <t xml:space="preserve">Can ship after first paying cohort</t>
  </si>
  <si>
    <t xml:space="preserve">BY DOMAIN</t>
  </si>
  <si>
    <t xml:space="preserve">Domain</t>
  </si>
  <si>
    <t xml:space="preserve">Total</t>
  </si>
  <si>
    <t xml:space="preserve">P0</t>
  </si>
  <si>
    <t xml:space="preserve">P1</t>
  </si>
  <si>
    <t xml:space="preserve">P2</t>
  </si>
  <si>
    <t xml:space="preserve">Agents</t>
  </si>
  <si>
    <t xml:space="preserve">Backend</t>
  </si>
  <si>
    <t xml:space="preserve">Brand</t>
  </si>
  <si>
    <t xml:space="preserve">Database</t>
  </si>
  <si>
    <t xml:space="preserve">Finance</t>
  </si>
  <si>
    <t xml:space="preserve">Frontend</t>
  </si>
  <si>
    <t xml:space="preserve">Governance</t>
  </si>
  <si>
    <t xml:space="preserve">Infrastructure</t>
  </si>
  <si>
    <t xml:space="preserve">Legal</t>
  </si>
  <si>
    <t xml:space="preserve">Marketing</t>
  </si>
  <si>
    <t xml:space="preserve">Mobile</t>
  </si>
  <si>
    <t xml:space="preserve">Paperclip</t>
  </si>
  <si>
    <t xml:space="preserve">Pipeline</t>
  </si>
  <si>
    <t xml:space="preserve">Pricing</t>
  </si>
  <si>
    <t xml:space="preserve">Product</t>
  </si>
  <si>
    <t xml:space="preserve">QA</t>
  </si>
  <si>
    <t xml:space="preserve">i18n</t>
  </si>
  <si>
    <t xml:space="preserve">TOTAL</t>
  </si>
  <si>
    <t xml:space="preserve">BY OWNER</t>
  </si>
  <si>
    <t xml:space="preserve">Owner</t>
  </si>
  <si>
    <t xml:space="preserve">Claude Cowork</t>
  </si>
  <si>
    <t xml:space="preserve">Dr Mubashir</t>
  </si>
  <si>
    <t xml:space="preserve">(Paperclip legacy)</t>
  </si>
  <si>
    <t xml:space="preserve">BY STATUS</t>
  </si>
  <si>
    <t xml:space="preserve">Status</t>
  </si>
  <si>
    <t xml:space="preserve">Count</t>
  </si>
  <si>
    <t xml:space="preserve">Done</t>
  </si>
  <si>
    <t xml:space="preserve">In Progress</t>
  </si>
  <si>
    <t xml:space="preserve">To Do</t>
  </si>
  <si>
    <t xml:space="preserve">Cancelled</t>
  </si>
  <si>
    <t xml:space="preserve">CRITICAL PATH TO SOFT LAUNCH (11 May 2026)</t>
  </si>
  <si>
    <t xml:space="preserve">T-005 Brevo templates → T-020 Pipeline 1 payment→report → T-414 Dispute Sonnet → T-421 Consents</t>
  </si>
  <si>
    <t xml:space="preserve">→ T-422 Google OAuth External → T-423 Magic Link template → T-420 T-103 core tests</t>
  </si>
  <si>
    <t xml:space="preserve">→ T-426 E2E Stripe→Brevo → T-418 Stripe Tax + OSS → T-034 FR avocat opinion</t>
  </si>
  <si>
    <t xml:space="preserve">→ T-427 médiateur decision → FIRST PAYING USER</t>
  </si>
  <si>
    <t xml:space="preserve">TENU.WORLD — OPTION C GOVERNANCE MODEL</t>
  </si>
  <si>
    <t xml:space="preserve">Layer</t>
  </si>
  <si>
    <t xml:space="preserve">Actor</t>
  </si>
  <si>
    <t xml:space="preserve">Adapter</t>
  </si>
  <si>
    <t xml:space="preserve">Role</t>
  </si>
  <si>
    <t xml:space="preserve">Budget / Cost Control</t>
  </si>
  <si>
    <t xml:space="preserve">Strategic Review</t>
  </si>
  <si>
    <t xml:space="preserve">CEO Agent (Sonnet)</t>
  </si>
  <si>
    <t xml:space="preserve">claude_local</t>
  </si>
  <si>
    <t xml:space="preserve">Weekly strategic review: validates priorities, flags risks, reviews KPIs. Runs once per week on Monday.</t>
  </si>
  <si>
    <t xml:space="preserve">$15/month cap. ~$1-2 per review run.</t>
  </si>
  <si>
    <t xml:space="preserve">Technical Governance</t>
  </si>
  <si>
    <t xml:space="preserve">CTO Agent (Sonnet)</t>
  </si>
  <si>
    <t xml:space="preserve">Code review gatekeeper: reviews PRs, validates architecture decisions, approves scope changes. Runs on-demand when Dr Mubashir triggers.</t>
  </si>
  <si>
    <t xml:space="preserve">$20/month cap ($8.95 remaining). ~$1-3 per run.</t>
  </si>
  <si>
    <t xml:space="preserve">Execution</t>
  </si>
  <si>
    <t xml:space="preserve">Dr Mubashir + Claude Cowork</t>
  </si>
  <si>
    <t xml:space="preserve">N/A (this session)</t>
  </si>
  <si>
    <t xml:space="preserve">ALL code, config, deployment, testing, content writing. The human-AI pair does every deliverable.</t>
  </si>
  <si>
    <t xml:space="preserve">Included in Claude subscription.</t>
  </si>
  <si>
    <t xml:space="preserve">Monitoring</t>
  </si>
  <si>
    <t xml:space="preserve">Telegram Bot + LaunchAgent</t>
  </si>
  <si>
    <t xml:space="preserve">paperclip-monitor.py</t>
  </si>
  <si>
    <t xml:space="preserve">Automated alerts: failed runs, budget breaches, stalled work. Digest every 30 min.</t>
  </si>
  <si>
    <t xml:space="preserve">Free (runs locally).</t>
  </si>
  <si>
    <t xml:space="preserve">DECISION RULE</t>
  </si>
  <si>
    <t xml:space="preserve">CEO runs weekly. CTO runs only when you say so. Everything else is you + me.</t>
  </si>
  <si>
    <t xml:space="preserve">WHAT CHANGES FROM CURRENT SETUP</t>
  </si>
  <si>
    <t xml:space="preserve">Before</t>
  </si>
  <si>
    <t xml:space="preserve">After</t>
  </si>
  <si>
    <t xml:space="preserve">10 agents, 8 on Ollama (all failing)</t>
  </si>
  <si>
    <t xml:space="preserve">2 agents on Sonnet (governance only)</t>
  </si>
  <si>
    <t xml:space="preserve">gemma4:e4b doing dev tasks (0% success)</t>
  </si>
  <si>
    <t xml:space="preserve">Claude Cowork does all dev (100% success)</t>
  </si>
  <si>
    <t xml:space="preserve">No systematic tracking</t>
  </si>
  <si>
    <t xml:space="preserve">Excel reste-à-faire + Paperclip issues</t>
  </si>
  <si>
    <t xml:space="preserve">Ad hoc follow-up</t>
  </si>
  <si>
    <t xml:space="preserve">Weekly CEO review + on-demand CTO review</t>
  </si>
  <si>
    <t xml:space="preserve">ID</t>
  </si>
  <si>
    <t xml:space="preserve">Task</t>
  </si>
  <si>
    <t xml:space="preserve">Deadline</t>
  </si>
  <si>
    <t xml:space="preserve">Dependency</t>
  </si>
  <si>
    <t xml:space="preserve">Deliverable</t>
  </si>
  <si>
    <t xml:space="preserve">Notes</t>
  </si>
  <si>
    <t xml:space="preserve">T-001</t>
  </si>
  <si>
    <t xml:space="preserve">Set up Supabase project (create project, run 001_schema.sql migration)</t>
  </si>
  <si>
    <t xml:space="preserve">None</t>
  </si>
  <si>
    <t xml:space="preserve">Supabase project URL + anon key in .env.local</t>
  </si>
  <si>
    <t xml:space="preserve">[Session 8 04/16] Migrations 001+002 both run in Supabase</t>
  </si>
  <si>
    <t xml:space="preserve">T-002</t>
  </si>
  <si>
    <t xml:space="preserve">Create Cloudflare R2 bucket (tenu-photos-eu, EU region, private)</t>
  </si>
  <si>
    <t xml:space="preserve">R2 account ID + access keys in .env.local</t>
  </si>
  <si>
    <t xml:space="preserve">[Session 7] R2 bucket created, keys in .env.local</t>
  </si>
  <si>
    <t xml:space="preserve">T-003</t>
  </si>
  <si>
    <t xml:space="preserve">Configure Stripe account (products, prices, 6 discount codes, webhook endpoint)</t>
  </si>
  <si>
    <t xml:space="preserve">Stripe API keys + price IDs in .env.local</t>
  </si>
  <si>
    <t xml:space="preserve">[Session 7-8] Stripe test keys configured, dynamic pricing (no fixed products), webhook endpoint set</t>
  </si>
  <si>
    <t xml:space="preserve">T-004</t>
  </si>
  <si>
    <t xml:space="preserve">Deploy to Vercel (connect GitHub repo, set env vars, verify tenu.world DNS)</t>
  </si>
  <si>
    <t xml:space="preserve">T-001, T-002, T-003</t>
  </si>
  <si>
    <t xml:space="preserve">tenu.world live with Next.js app</t>
  </si>
  <si>
    <t xml:space="preserve">[Session 6] Vercel deployed, tenu.world live, DNS configured</t>
  </si>
  <si>
    <t xml:space="preserve">T-005</t>
  </si>
  <si>
    <t xml:space="preserve">Configure Brevo (domain verification, 3 email templates: report EN, report FR, 14-day survey)</t>
  </si>
  <si>
    <t xml:space="preserve">Brevo API key in .env.local + templates live</t>
  </si>
  <si>
    <t xml:space="preserve">DNS records on Namecheap | [2026-04-18] Brevo SMTP in Supabase Auth configured (#46). Domain verify + 3 templates still open.</t>
  </si>
  <si>
    <t xml:space="preserve">T-010</t>
  </si>
  <si>
    <t xml:space="preserve">Complete hi.json (Hindi) dictionary</t>
  </si>
  <si>
    <t xml:space="preserve">src/lib/i18n/dictionaries/hi.json</t>
  </si>
  <si>
    <t xml:space="preserve">Native speaker review needed</t>
  </si>
  <si>
    <t xml:space="preserve">T-011</t>
  </si>
  <si>
    <t xml:space="preserve">Complete ja.json (Japanese) dictionary</t>
  </si>
  <si>
    <t xml:space="preserve">src/lib/i18n/dictionaries/ja.json</t>
  </si>
  <si>
    <t xml:space="preserve">T-012</t>
  </si>
  <si>
    <t xml:space="preserve">Complete es.json (Spanish) dictionary</t>
  </si>
  <si>
    <t xml:space="preserve">src/lib/i18n/dictionaries/es.json</t>
  </si>
  <si>
    <t xml:space="preserve">T-013</t>
  </si>
  <si>
    <t xml:space="preserve">Complete it.json (Italian) dictionary</t>
  </si>
  <si>
    <t xml:space="preserve">src/lib/i18n/dictionaries/it.json</t>
  </si>
  <si>
    <t xml:space="preserve">T-014</t>
  </si>
  <si>
    <t xml:space="preserve">Complete uk.json (Ukrainian) dictionary</t>
  </si>
  <si>
    <t xml:space="preserve">src/lib/i18n/dictionaries/uk.json</t>
  </si>
  <si>
    <t xml:space="preserve">T-015</t>
  </si>
  <si>
    <t xml:space="preserve">Native speaker review: zh.json (Chinese)</t>
  </si>
  <si>
    <t xml:space="preserve">Reviewed zh.json committed</t>
  </si>
  <si>
    <t xml:space="preserve">Find reviewer in Chinese student network</t>
  </si>
  <si>
    <t xml:space="preserve">T-016</t>
  </si>
  <si>
    <t xml:space="preserve">Native speaker review: ar.json (Arabic)</t>
  </si>
  <si>
    <t xml:space="preserve">Reviewed ar.json committed</t>
  </si>
  <si>
    <t xml:space="preserve">Find reviewer via ISOC or mosque network</t>
  </si>
  <si>
    <t xml:space="preserve">T-020</t>
  </si>
  <si>
    <t xml:space="preserve">Build Pipeline 1: Stripe webhook → Supabase user fetch → R2 photo fetch → Claude Haiku scan → PDF generation → R2 upload → Brevo email</t>
  </si>
  <si>
    <t xml:space="preserve">T-001, T-002, T-003, T-005</t>
  </si>
  <si>
    <t xml:space="preserve">src/app/api/webhooks/stripe/route.ts (extended)</t>
  </si>
  <si>
    <t xml:space="preserve">This is the core revenue path | [2026-04-18] Risk-scan v2 on /api/ai/scan live (#22, #33). PDF gen + R2 upload + Brevo send still pending (#25).</t>
  </si>
  <si>
    <t xml:space="preserve">T-021</t>
  </si>
  <si>
    <t xml:space="preserve">Build Pipeline 2: Dispute add-on → Claude Sonnet letter → PDF append → R2 upload → Brevo email</t>
  </si>
  <si>
    <t xml:space="preserve">src/app/api/ai/dispute/route.ts (extended)</t>
  </si>
  <si>
    <t xml:space="preserve">[Sync 04/15 15:54] Paperclip: done | [2026-04-18] Dispute v2 spec shipped, /api/ai/dispute scaffold in place (#30). Sonnet handler still being finalised.</t>
  </si>
  <si>
    <t xml:space="preserve">T-022</t>
  </si>
  <si>
    <t xml:space="preserve">Build Pipeline 3: Supabase scheduled function → 14-day Brevo outcome survey → Supabase update</t>
  </si>
  <si>
    <t xml:space="preserve">T-020, T-005</t>
  </si>
  <si>
    <t xml:space="preserve">Supabase Edge Function or cron</t>
  </si>
  <si>
    <t xml:space="preserve">Outcome data feeds Year 1 metrics</t>
  </si>
  <si>
    <t xml:space="preserve">T-030</t>
  </si>
  <si>
    <t xml:space="preserve">Implement R2 signed URLs (no public photo access, 1-hour expiry)</t>
  </si>
  <si>
    <t xml:space="preserve">src/lib/storage/r2-upload.ts updated</t>
  </si>
  <si>
    <t xml:space="preserve">Critical for GDPR compliance | [2026-04-17] R2 signed URLs + evidence chain (sha256+EXIF) live on 0240bec (#23).</t>
  </si>
  <si>
    <t xml:space="preserve">T-031</t>
  </si>
  <si>
    <t xml:space="preserve">Implement 30-day photo deletion (Supabase cron + R2 delete)</t>
  </si>
  <si>
    <t xml:space="preserve">T-001, T-002</t>
  </si>
  <si>
    <t xml:space="preserve">Supabase Edge Function + R2 lifecycle</t>
  </si>
  <si>
    <t xml:space="preserve">GDPR data retention requirement</t>
  </si>
  <si>
    <t xml:space="preserve">T-032</t>
  </si>
  <si>
    <t xml:space="preserve">Create privacy policy page (/privacy) — FR + EN</t>
  </si>
  <si>
    <t xml:space="preserve">src/app/privacy/page.tsx</t>
  </si>
  <si>
    <t xml:space="preserve">[Sync 04/17 12:18] Paperclip: done | [2026-04-17] /legal/privacy live FR+EN with DRAFT banner (#17).</t>
  </si>
  <si>
    <t xml:space="preserve">T-033</t>
  </si>
  <si>
    <t xml:space="preserve">Create terms of service page (/terms) — FR + EN</t>
  </si>
  <si>
    <t xml:space="preserve">src/app/terms/page.tsx</t>
  </si>
  <si>
    <t xml:space="preserve">[Sync 04/17 12:18] Paperclip: done | [2026-04-17] /legal/terms live FR+EN with DRAFT banner (#17).</t>
  </si>
  <si>
    <t xml:space="preserve">T-034</t>
  </si>
  <si>
    <t xml:space="preserve">Commission FR avocat opinion (droit locatif, €500-1000)</t>
  </si>
  <si>
    <t xml:space="preserve">Written legal opinion PDF</t>
  </si>
  <si>
    <t xml:space="preserve">Barreau de Paris or HEC network</t>
  </si>
  <si>
    <t xml:space="preserve">T-035</t>
  </si>
  <si>
    <t xml:space="preserve">Commission UK solicitor opinion (Legal Services Act 2007, £400-800)</t>
  </si>
  <si>
    <t xml:space="preserve">Law Society directory | [2026-04-17] UK disabled at launch per pricing lock. Revisit after first FR cohort outcome data.</t>
  </si>
  <si>
    <t xml:space="preserve">T-036</t>
  </si>
  <si>
    <t xml:space="preserve">Add 'not legal advice' checkbox before report delivery</t>
  </si>
  <si>
    <t xml:space="preserve">UI checkbox + Supabase consent log</t>
  </si>
  <si>
    <t xml:space="preserve">Legal requirement per C1 risk | [2026-04-18] Consent touchpoints scoped (#29). Blocked by #47 Google OAuth External + #48 Magic Link template.</t>
  </si>
  <si>
    <t xml:space="preserve">T-040</t>
  </si>
  <si>
    <t xml:space="preserve">End-to-end test: login → new inspection → photo capture → submit → report view</t>
  </si>
  <si>
    <t xml:space="preserve">T-001, T-002, T-004</t>
  </si>
  <si>
    <t xml:space="preserve">Test report in /docs/qa/</t>
  </si>
  <si>
    <t xml:space="preserve">Manual test, then automate</t>
  </si>
  <si>
    <t xml:space="preserve">T-041</t>
  </si>
  <si>
    <t xml:space="preserve">Test RTL layout (Arabic, Urdu) on all pages</t>
  </si>
  <si>
    <t xml:space="preserve">Screenshot comparisons</t>
  </si>
  <si>
    <t xml:space="preserve">Tailwind RTL plugin</t>
  </si>
  <si>
    <t xml:space="preserve">T-042</t>
  </si>
  <si>
    <t xml:space="preserve">Test Stripe checkout flow with all 6 discount codes</t>
  </si>
  <si>
    <t xml:space="preserve">T-003, T-020</t>
  </si>
  <si>
    <t xml:space="preserve">All codes validated in test mode</t>
  </si>
  <si>
    <t xml:space="preserve">Use Stripe test cards | [2026-04-17] Pricing model changed to 5-tier grid (T-409). Discount codes reset. Re-validate in test mode.</t>
  </si>
  <si>
    <t xml:space="preserve">T-043</t>
  </si>
  <si>
    <t xml:space="preserve">Test Claude Haiku risk scan with sample room photos</t>
  </si>
  <si>
    <t xml:space="preserve">JSON risk output validated</t>
  </si>
  <si>
    <t xml:space="preserve">[Sync 04/15 15:54] Paperclip: done | [2026-04-17] Haiku scan grille JSON validated against Décret 87-712 references.</t>
  </si>
  <si>
    <t xml:space="preserve">T-050</t>
  </si>
  <si>
    <t xml:space="preserve">Initialize Capacitor iOS project from Next.js build</t>
  </si>
  <si>
    <t xml:space="preserve">T-004, T-040</t>
  </si>
  <si>
    <t xml:space="preserve">ios/ directory with Xcode project</t>
  </si>
  <si>
    <t xml:space="preserve">[Sync 04/15 15:54] Paperclip: done | [2026-04-17] Capacitor 6 iOS scaffold (#24, #49). TestFlight build still pending.</t>
  </si>
  <si>
    <t xml:space="preserve">T-051</t>
  </si>
  <si>
    <t xml:space="preserve">Configure native camera plugin for iOS</t>
  </si>
  <si>
    <t xml:space="preserve">Camera works in iOS simulator</t>
  </si>
  <si>
    <t xml:space="preserve">[Sync 04/15 15:54] Paperclip: done | [2026-04-17] Camera plugin wired. Confirmed in simulator.</t>
  </si>
  <si>
    <t xml:space="preserve">T-052</t>
  </si>
  <si>
    <t xml:space="preserve">TestFlight build + internal testing</t>
  </si>
  <si>
    <t xml:space="preserve">TestFlight link shared</t>
  </si>
  <si>
    <t xml:space="preserve">Apple Developer account needed</t>
  </si>
  <si>
    <t xml:space="preserve">T-053</t>
  </si>
  <si>
    <t xml:space="preserve">Initialize Capacitor Android project from Next.js build</t>
  </si>
  <si>
    <t xml:space="preserve">android/ directory with Gradle project</t>
  </si>
  <si>
    <t xml:space="preserve">[Sync 04/15 15:54] Paperclip: done | [2026-04-17] Capacitor 6 Android scaffold (#24, #49).</t>
  </si>
  <si>
    <t xml:space="preserve">T-054</t>
  </si>
  <si>
    <t xml:space="preserve">Configure native camera plugin for Android</t>
  </si>
  <si>
    <t xml:space="preserve">Camera works in Android emulator</t>
  </si>
  <si>
    <t xml:space="preserve">[Sync 04/15 15:54] Paperclip: done | [2026-04-17] Camera plugin wired. Confirmed in emulator.</t>
  </si>
  <si>
    <t xml:space="preserve">T-055</t>
  </si>
  <si>
    <t xml:space="preserve">Play Store internal test track</t>
  </si>
  <si>
    <t xml:space="preserve">Internal test link</t>
  </si>
  <si>
    <t xml:space="preserve">Google Play Console account needed</t>
  </si>
  <si>
    <t xml:space="preserve">T-060</t>
  </si>
  <si>
    <t xml:space="preserve">Create waitlist landing page on tenu.world</t>
  </si>
  <si>
    <t xml:space="preserve">Live page with email capture</t>
  </si>
  <si>
    <t xml:space="preserve">Brevo form or Tally embed</t>
  </si>
  <si>
    <t xml:space="preserve">T-061</t>
  </si>
  <si>
    <t xml:space="preserve">Post in Chinese student community (Facebook/WeChat) — demand validation</t>
  </si>
  <si>
    <t xml:space="preserve">20+ signups in 48h = green light</t>
  </si>
  <si>
    <t xml:space="preserve">Use ZH copy from GTM plan</t>
  </si>
  <si>
    <t xml:space="preserve">T-062</t>
  </si>
  <si>
    <t xml:space="preserve">Post in Reddit r/france (LOCATAIRE25 code)</t>
  </si>
  <si>
    <t xml:space="preserve">Signup count tracked</t>
  </si>
  <si>
    <t xml:space="preserve">T-063</t>
  </si>
  <si>
    <t xml:space="preserve">Contact 3 UK ISOC housing officers (UMMAH25 code)</t>
  </si>
  <si>
    <t xml:space="preserve">3 emails sent, responses tracked</t>
  </si>
  <si>
    <t xml:space="preserve">UCL, King's, Manchester</t>
  </si>
  <si>
    <t xml:space="preserve">T-064</t>
  </si>
  <si>
    <t xml:space="preserve">Draft launch announcement for all 5 target communities</t>
  </si>
  <si>
    <t xml:space="preserve">5 posts in ZH, AR, UR, EN, FR</t>
  </si>
  <si>
    <t xml:space="preserve">Community-specific messaging</t>
  </si>
  <si>
    <t xml:space="preserve">T-070</t>
  </si>
  <si>
    <t xml:space="preserve">Set up Global Apex bank tracking for Tenu expenses</t>
  </si>
  <si>
    <t xml:space="preserve">Expense ledger (Excel or accounting tool)</t>
  </si>
  <si>
    <t xml:space="preserve">Separate cost center for Tenu</t>
  </si>
  <si>
    <t xml:space="preserve">T-071</t>
  </si>
  <si>
    <t xml:space="preserve">First monthly financial report (costs vs. projections)</t>
  </si>
  <si>
    <t xml:space="preserve">Financial report PDF/XLSX</t>
  </si>
  <si>
    <t xml:space="preserve">Compare to 04-Financial projections</t>
  </si>
  <si>
    <t xml:space="preserve">T-072</t>
  </si>
  <si>
    <t xml:space="preserve">Sign Make.com EU DPA (if any Make.com usage remains)</t>
  </si>
  <si>
    <t xml:space="preserve">Signed DPA on file</t>
  </si>
  <si>
    <t xml:space="preserve">May not be needed if pipeline is all in-code | [2026-04-15] Pipeline moved fully in-code (Next.js API routes). No Make.com usage remains.</t>
  </si>
  <si>
    <t xml:space="preserve">T-080</t>
  </si>
  <si>
    <t xml:space="preserve">Reconfigure Paperclip: pause all Ollama agents, keep CEO + CTO active</t>
  </si>
  <si>
    <t xml:space="preserve">SQL executed, agents reconfigured</t>
  </si>
  <si>
    <t xml:space="preserve">SQL provided in this workbook | [2026-04-17] Option 2 executed (#18). All 10 agents paused, 14 issues closed. Dashboard-only mode.</t>
  </si>
  <si>
    <t xml:space="preserve">T-081</t>
  </si>
  <si>
    <t xml:space="preserve">Create CEO weekly review issue (Monday cadence)</t>
  </si>
  <si>
    <t xml:space="preserve">Recurring Paperclip issue</t>
  </si>
  <si>
    <t xml:space="preserve">CEO reviews priorities, flags risks | [2026-04-17] CEO weekly review retired with the agent fleet. Governance runs off the dashboard + Claude Cowork session cadence.</t>
  </si>
  <si>
    <t xml:space="preserve">T-082</t>
  </si>
  <si>
    <t xml:space="preserve">Set up Telegram bot for monitoring (BotFather → token + chat_id)</t>
  </si>
  <si>
    <t xml:space="preserve">~/.paperclip-monitor.env populated</t>
  </si>
  <si>
    <t xml:space="preserve">Then: launchctl load the plist | [2026-04-17] Telegram push channel scoped (#32). Token + chat_id procurement open.</t>
  </si>
  <si>
    <t xml:space="preserve">T-083</t>
  </si>
  <si>
    <t xml:space="preserve">Activate LaunchAgent for paperclip-monitor</t>
  </si>
  <si>
    <t xml:space="preserve">Monitor running every 5 min</t>
  </si>
  <si>
    <t xml:space="preserve">launchctl load ~/Library/LaunchAgents/com.globalapex.paperclip-monitor.plist | [2026-04-17] governance-sync LaunchAgent running every 30 min.</t>
  </si>
  <si>
    <t xml:space="preserve">T-084</t>
  </si>
  <si>
    <t xml:space="preserve">Hire your first engineer and create a hiring plan</t>
  </si>
  <si>
    <t xml:space="preserve">Head of HR</t>
  </si>
  <si>
    <t xml:space="preserve">[Auto-added from Paperclip 04/15] | [2026-04-17] Paperclip agent fleet retired (#18). Dashboard-only mode — this auto-generated entry is obsolete.</t>
  </si>
  <si>
    <t xml:space="preserve">T-086</t>
  </si>
  <si>
    <t xml:space="preserve">Set up technical foundation and development environment</t>
  </si>
  <si>
    <t xml:space="preserve">CTO</t>
  </si>
  <si>
    <t xml:space="preserve">T-089</t>
  </si>
  <si>
    <t xml:space="preserve">Define and build the first MVP app or AI agent</t>
  </si>
  <si>
    <t xml:space="preserve">T-093</t>
  </si>
  <si>
    <t xml:space="preserve">CTO: Reactivate and deliver Week 2-4 technical roadmap for Tenu.World</t>
  </si>
  <si>
    <t xml:space="preserve">T-098</t>
  </si>
  <si>
    <t xml:space="preserve">[Marketing] Week 4 launch plan: community outreach across 5 target segments</t>
  </si>
  <si>
    <t xml:space="preserve">Head of Marketing</t>
  </si>
  <si>
    <t xml:space="preserve">T-104</t>
  </si>
  <si>
    <t xml:space="preserve">[Finance] Weekly KPI dashboard and first monthly board financial report</t>
  </si>
  <si>
    <t xml:space="preserve">Head of Finance</t>
  </si>
  <si>
    <t xml:space="preserve">T-111</t>
  </si>
  <si>
    <t xml:space="preserve">[HR] Build agent hiring pipeline and coordinate department head onboarding</t>
  </si>
  <si>
    <t xml:space="preserve">[Sync 04/15 15:54] Paperclip: in_progress | [2026-04-17] Paperclip agent fleet retired (#18). Dashboard-only mode — this auto-generated entry is obsolete.</t>
  </si>
  <si>
    <t xml:space="preserve">T-119</t>
  </si>
  <si>
    <t xml:space="preserve">[Product] 6-feature roadmap and Week 2-4 specs for Tenu.World</t>
  </si>
  <si>
    <t xml:space="preserve">Head of Product</t>
  </si>
  <si>
    <t xml:space="preserve">T-128</t>
  </si>
  <si>
    <t xml:space="preserve">[Web] Complete i18n dictionaries: hi.json, ja.json, es.json, it.json, uk.json</t>
  </si>
  <si>
    <t xml:space="preserve">Senior Web Developer</t>
  </si>
  <si>
    <t xml:space="preserve">T-138</t>
  </si>
  <si>
    <t xml:space="preserve">[Web] Integrate Brevo transactional email for report delivery and follow-up</t>
  </si>
  <si>
    <t xml:space="preserve">T-149</t>
  </si>
  <si>
    <t xml:space="preserve">[iOS] Prepare App Store submission: icons, splash screens, metadata</t>
  </si>
  <si>
    <t xml:space="preserve">Senior iOS Developer</t>
  </si>
  <si>
    <t xml:space="preserve">T-161</t>
  </si>
  <si>
    <t xml:space="preserve">[Android] Prepare Play Store submission: icons, screenshots, metadata</t>
  </si>
  <si>
    <t xml:space="preserve">Senior Android Developer</t>
  </si>
  <si>
    <t xml:space="preserve">T-174</t>
  </si>
  <si>
    <t xml:space="preserve">[Web] Build in-code payment-to-delivery pipeline (no Make.com)</t>
  </si>
  <si>
    <t xml:space="preserve">T-188</t>
  </si>
  <si>
    <t xml:space="preserve">Complete i18n dictionaries for hi, ja, es, pt, ko</t>
  </si>
  <si>
    <t xml:space="preserve">T-203</t>
  </si>
  <si>
    <t xml:space="preserve">Integrate Brevo transactional email for report delivery and 14-day follow-up</t>
  </si>
  <si>
    <t xml:space="preserve">[Sync 04/15 15:54] Paperclip: done</t>
  </si>
  <si>
    <t xml:space="preserve">T-219</t>
  </si>
  <si>
    <t xml:space="preserve">End-to-end QA: full inspection flow from onboarding to report download</t>
  </si>
  <si>
    <t xml:space="preserve">T-236</t>
  </si>
  <si>
    <t xml:space="preserve">Capacitor iOS: build setup, native camera integration, and TestFlight build</t>
  </si>
  <si>
    <t xml:space="preserve">[Sync 04/15 15:54] Paperclip: done | [2026-04-17] Paperclip agent fleet retired (#18). Dashboard-only mode — this auto-generated entry is obsolete.</t>
  </si>
  <si>
    <t xml:space="preserve">T-254</t>
  </si>
  <si>
    <t xml:space="preserve">Capacitor Android: build setup, native camera integration, and internal test track</t>
  </si>
  <si>
    <t xml:space="preserve">T-273</t>
  </si>
  <si>
    <t xml:space="preserve">Investigate and recover Senior iOS Developer and Senior Android Developer agents (error state)</t>
  </si>
  <si>
    <t xml:space="preserve">T-293</t>
  </si>
  <si>
    <t xml:space="preserve">T-314</t>
  </si>
  <si>
    <t xml:space="preserve">[CEO ESCALATION] Systemic agent error: CTO + iOS + Android developers all crashing on startup</t>
  </si>
  <si>
    <t xml:space="preserve">unassigned</t>
  </si>
  <si>
    <t xml:space="preserve">T-315</t>
  </si>
  <si>
    <t xml:space="preserve">CEO: Document session progress and update Excel tracker</t>
  </si>
  <si>
    <t xml:space="preserve">CEO</t>
  </si>
  <si>
    <t xml:space="preserve">T-316</t>
  </si>
  <si>
    <t xml:space="preserve">CEO: Morning check-in 2026-04-16 — catch-up sprint begins</t>
  </si>
  <si>
    <t xml:space="preserve">[Auto-added from Paperclip 04/16] | [2026-04-17] Paperclip agent fleet retired (#18). Dashboard-only mode — this auto-generated entry is obsolete.</t>
  </si>
  <si>
    <t xml:space="preserve">T-090</t>
  </si>
  <si>
    <t xml:space="preserve">Rewrite inspection/new form: owner, tenants, contract, property, zone tendue, French UI</t>
  </si>
  <si>
    <t xml:space="preserve">2026-04-16</t>
  </si>
  <si>
    <t xml:space="preserve">src/app/inspection/new/page.tsx</t>
  </si>
  <si>
    <t xml:space="preserve">[Session 8 04/16] Full form with 6 sections, zone tendue auto-detect from postal code</t>
  </si>
  <si>
    <t xml:space="preserve">T-091</t>
  </si>
  <si>
    <t xml:space="preserve">Build element rating UI (TB/B/M/MV per element, auto-save, progress bar)</t>
  </si>
  <si>
    <t xml:space="preserve">src/components/inspection/ElementRatingPanel.tsx</t>
  </si>
  <si>
    <t xml:space="preserve">[Session 8 04/16] Integrated in capture flow</t>
  </si>
  <si>
    <t xml:space="preserve">T-092</t>
  </si>
  <si>
    <t xml:space="preserve">Build /api/inspection/create route (owner, tenants, contract, zone tendue, rooms)</t>
  </si>
  <si>
    <t xml:space="preserve">src/app/api/inspection/create/route.ts</t>
  </si>
  <si>
    <t xml:space="preserve">[Session 8 04/16] Server-side zone tendue detection</t>
  </si>
  <si>
    <t xml:space="preserve">T-094</t>
  </si>
  <si>
    <t xml:space="preserve">Build /api/inspection/ratings route (GET + POST upsert per element)</t>
  </si>
  <si>
    <t xml:space="preserve">src/app/api/inspection/ratings/route.ts</t>
  </si>
  <si>
    <t xml:space="preserve">[Session 8 04/16] Ownership verification via room-&gt;inspection-&gt;user</t>
  </si>
  <si>
    <t xml:space="preserve">T-095</t>
  </si>
  <si>
    <t xml:space="preserve">Build zone tendue postal code lookup utility (1100+ postal codes from Décret 2013-392)</t>
  </si>
  <si>
    <t xml:space="preserve">src/lib/geo/zone-tendue.ts</t>
  </si>
  <si>
    <t xml:space="preserve">[Session 8 04/16] Notice period auto-calc</t>
  </si>
  <si>
    <t xml:space="preserve">T-096</t>
  </si>
  <si>
    <t xml:space="preserve">Build element checklist definitions per room type (10 standard + kitchen/bathroom extras)</t>
  </si>
  <si>
    <t xml:space="preserve">src/lib/inspection/elements.ts</t>
  </si>
  <si>
    <t xml:space="preserve">[Session 8 04/16] Matches official état des lieux templates</t>
  </si>
  <si>
    <t xml:space="preserve">T-097</t>
  </si>
  <si>
    <t xml:space="preserve">Run migration 002: tenants table, element_ratings table, owner/contract/property columns on inspections</t>
  </si>
  <si>
    <t xml:space="preserve">supabase/migrations/002_owner_contract_tenants.sql</t>
  </si>
  <si>
    <t xml:space="preserve">[Session 8 04/16] Both 001+002 run in SQL Editor</t>
  </si>
  <si>
    <t xml:space="preserve">T-099</t>
  </si>
  <si>
    <t xml:space="preserve">Configure Stripe webhook endpoint (checkout.session.completed) + signing secret</t>
  </si>
  <si>
    <t xml:space="preserve">STRIPE_WEBHOOK_SECRET in .env.local + Vercel</t>
  </si>
  <si>
    <t xml:space="preserve">[Session 8 04/16] whsec_ key configured</t>
  </si>
  <si>
    <t xml:space="preserve">T-100</t>
  </si>
  <si>
    <t xml:space="preserve">CTO-01 Grille de vetuste data file (JSON)</t>
  </si>
  <si>
    <t xml:space="preserve">[Sync 04/17 12:18] Paperclip: done</t>
  </si>
  <si>
    <t xml:space="preserve">T-102</t>
  </si>
  <si>
    <t xml:space="preserve">CEO-02 Cold outreach DM template FR (400 chars max)</t>
  </si>
  <si>
    <t xml:space="preserve">T-105</t>
  </si>
  <si>
    <t xml:space="preserve">CEO-03 Politique de confidentialite FR</t>
  </si>
  <si>
    <t xml:space="preserve">T-109</t>
  </si>
  <si>
    <t xml:space="preserve">CTO-05 Security checklist for API routes</t>
  </si>
  <si>
    <t xml:space="preserve">T-114</t>
  </si>
  <si>
    <t xml:space="preserve">CEO-05 CGU FR</t>
  </si>
  <si>
    <t xml:space="preserve">T-120</t>
  </si>
  <si>
    <t xml:space="preserve">CEO-07 Politique de remboursement FR</t>
  </si>
  <si>
    <t xml:space="preserve">T-127</t>
  </si>
  <si>
    <t xml:space="preserve">CEO-08 Refund Policy EN (translate FR)</t>
  </si>
  <si>
    <t xml:space="preserve">T-135</t>
  </si>
  <si>
    <t xml:space="preserve">CTO-02 ADR-001 Grille de vetuste integration</t>
  </si>
  <si>
    <t xml:space="preserve">T-144</t>
  </si>
  <si>
    <t xml:space="preserve">CTO-03 Prompt spec for /api/ai/scan v2 (Haiku)</t>
  </si>
  <si>
    <t xml:space="preserve">T-154</t>
  </si>
  <si>
    <t xml:space="preserve">CTO-04 Prompt spec for /api/ai/dispute v2 (Sonnet)</t>
  </si>
  <si>
    <t xml:space="preserve">T-165</t>
  </si>
  <si>
    <t xml:space="preserve">CTO-06 T-103 end-to-end smoke test plan</t>
  </si>
  <si>
    <t xml:space="preserve">T-177</t>
  </si>
  <si>
    <t xml:space="preserve">CEO-01 PDF disclaimer footer (FR+EN, 25 words each)</t>
  </si>
  <si>
    <t xml:space="preserve">T-400</t>
  </si>
  <si>
    <t xml:space="preserve">Extract and implement Tenu Identity v1 — disc mark + portal mark + parametric TenuMark component (11 containers)</t>
  </si>
  <si>
    <t xml:space="preserve">public/brand/mark-disc.svg, mark-portal.svg, src/components/brand/TenuMark.tsx</t>
  </si>
  <si>
    <t xml:space="preserve">[2026-04-18] Issues #62 + #63 shipped. theme.css untouched at this stage.</t>
  </si>
  <si>
    <t xml:space="preserve">T-401</t>
  </si>
  <si>
    <t xml:space="preserve">Apple-crisp palette repaint across global surfaces — emerald CTA, ink, canvas + Identity v1 navy/paper chrome</t>
  </si>
  <si>
    <t xml:space="preserve">src/app/theme.css palette + semantic tokens</t>
  </si>
  <si>
    <t xml:space="preserve">[2026-04-17] Issue #59. WCAG 2.2 AA contrast verified.</t>
  </si>
  <si>
    <t xml:space="preserve">T-402</t>
  </si>
  <si>
    <t xml:space="preserve">Extract design tokens into theme.css + .t-* component classes for web + PDF + email reuse</t>
  </si>
  <si>
    <t xml:space="preserve">src/app/theme.css, docs/THEMING.md</t>
  </si>
  <si>
    <t xml:space="preserve">[2026-04-17] Issue #60. Two-layer architecture (palette → semantic).</t>
  </si>
  <si>
    <t xml:space="preserve">T-403</t>
  </si>
  <si>
    <t xml:space="preserve">Rewrite landing homepage copy in anxiety-to-relief voice (FR + EN)</t>
  </si>
  <si>
    <t xml:space="preserve">src/app/[locale]/page.tsx</t>
  </si>
  <si>
    <t xml:space="preserve">[2026-04-17] Issue #61. Register will get v1.1 alignment pass in a separate sweep.</t>
  </si>
  <si>
    <t xml:space="preserve">T-404</t>
  </si>
  <si>
    <t xml:space="preserve">Brand Guidelines v1.0 → v1.1 — full professional services register (cabinet d'avocats / notariat / audit practice)</t>
  </si>
  <si>
    <t xml:space="preserve">T-400, T-401, T-402</t>
  </si>
  <si>
    <t xml:space="preserve">docs/brand/BRAND-GUIDELINES.md + Obsidian mirror + CLAUDE.md sync</t>
  </si>
  <si>
    <t xml:space="preserve">[2026-04-18] Issues #64 + #65. v1.1 overrule: no 'advocate's voice' framing. Commit c6f6624 pushed.</t>
  </si>
  <si>
    <t xml:space="preserve">T-405</t>
  </si>
  <si>
    <t xml:space="preserve">Build GlobalHeader server component + wire into layout.tsx, remove local page header</t>
  </si>
  <si>
    <t xml:space="preserve">src/components/GlobalHeader.tsx, src/app/[locale]/layout.tsx</t>
  </si>
  <si>
    <t xml:space="preserve">[2026-04-17] Issues #53 + #54.</t>
  </si>
  <si>
    <t xml:space="preserve">T-406</t>
  </si>
  <si>
    <t xml:space="preserve">Build /account page with user profile + consents snapshot + billing history</t>
  </si>
  <si>
    <t xml:space="preserve">src/app/[locale]/account/page.tsx</t>
  </si>
  <si>
    <t xml:space="preserve">[2026-04-17] Issue #55.</t>
  </si>
  <si>
    <t xml:space="preserve">T-407</t>
  </si>
  <si>
    <t xml:space="preserve">Build delete-account flow — GDPR Art 17 right to erasure, 30-day soft-delete grace period</t>
  </si>
  <si>
    <t xml:space="preserve">T-001, T-406</t>
  </si>
  <si>
    <t xml:space="preserve">src/app/[locale]/account/delete/page.tsx + /api/account/delete</t>
  </si>
  <si>
    <t xml:space="preserve">[2026-04-17] Issue #56.</t>
  </si>
  <si>
    <t xml:space="preserve">T-408</t>
  </si>
  <si>
    <t xml:space="preserve">Visual polish on landing hero + login — Apple HIG motion, reduced-motion respected</t>
  </si>
  <si>
    <t xml:space="preserve">T-401, T-403</t>
  </si>
  <si>
    <t xml:space="preserve">src/app/[locale]/page.tsx, src/app/[locale]/login/page.tsx</t>
  </si>
  <si>
    <t xml:space="preserve">[2026-04-17] Issue #57.</t>
  </si>
  <si>
    <t xml:space="preserve">T-409</t>
  </si>
  <si>
    <t xml:space="preserve">Lock 5-tier pricing grid (T1 €15 → T5+/maison €35) + exit_only €25 + dispute €20 + préavis €5 + colocation rule</t>
  </si>
  <si>
    <t xml:space="preserve">src/lib/stripe.ts + /pricing page + CLAUDE.md</t>
  </si>
  <si>
    <t xml:space="preserve">[2026-04-17] Issues #34, #39, #43. FR-only launch. Per-tenant, couple=one, no meublé surcharge.</t>
  </si>
  <si>
    <t xml:space="preserve">T-410</t>
  </si>
  <si>
    <t xml:space="preserve">Fix RLS silent failure on Stripe webhook writes — route /api/webhooks/stripe through admin client</t>
  </si>
  <si>
    <t xml:space="preserve">T-001, T-003</t>
  </si>
  <si>
    <t xml:space="preserve">src/app/api/webhooks/stripe/route.ts + src/lib/supabase/admin.ts</t>
  </si>
  <si>
    <t xml:space="preserve">[2026-04-17] Issues #44 + #51. Every supabase write now destructures { error }.</t>
  </si>
  <si>
    <t xml:space="preserve">T-411</t>
  </si>
  <si>
    <t xml:space="preserve">Migration 003 — add tax_country, tax_rate, tax_amount, tax_exclusive columns to payments table</t>
  </si>
  <si>
    <t xml:space="preserve">supabase/migrations/003_tax_columns.sql</t>
  </si>
  <si>
    <t xml:space="preserve">[2026-04-17] Issue #38. Backs T-418 Stripe Tax + OSS flow.</t>
  </si>
  <si>
    <t xml:space="preserve">T-412</t>
  </si>
  <si>
    <t xml:space="preserve">Evidence chain — persist sha256 + EXIF (camera/lens/timestamp/orientation) on photo upload, denorm inspection_id</t>
  </si>
  <si>
    <t xml:space="preserve">src/app/api/upload/route.ts + supabase/migrations</t>
  </si>
  <si>
    <t xml:space="preserve">[2026-04-17] Issue #23. Geolocation deliberately skipped for GDPR minimisation. Commit 0240bec.</t>
  </si>
  <si>
    <t xml:space="preserve">T-413</t>
  </si>
  <si>
    <t xml:space="preserve">Risk-scan v2 — /api/ai/scan with FR prompt, grille JSON, zod validation, retry Haiku→Haiku→Sonnet, €0.12 cost cap</t>
  </si>
  <si>
    <t xml:space="preserve">T-001, T-412</t>
  </si>
  <si>
    <t xml:space="preserve">src/app/api/ai/scan/route.ts + src/lib/ai/prompts/scan-v2.ts</t>
  </si>
  <si>
    <t xml:space="preserve">[2026-04-17] Issue #22 + #33.</t>
  </si>
  <si>
    <t xml:space="preserve">T-414</t>
  </si>
  <si>
    <t xml:space="preserve">Dispute-letter v2 — /api/ai/dispute FR/EN split, tenant_rationale fence, Sonnet→Sonnet retry, €0.50 cap, disclaimer server-injected</t>
  </si>
  <si>
    <t xml:space="preserve">src/app/api/ai/dispute/route.ts + src/lib/ai/prompts/dispute-v2.ts</t>
  </si>
  <si>
    <t xml:space="preserve">[2026-04-18] Issue #30. Typecheck blocked on sandbox — verify on Vercel preview.</t>
  </si>
  <si>
    <t xml:space="preserve">T-415</t>
  </si>
  <si>
    <t xml:space="preserve">Mobile scaffold — Capacitor 6 iOS+Android bundles + /api/mobile/upload-intent + /api/mobile/upload-commit</t>
  </si>
  <si>
    <t xml:space="preserve">T-002, T-004</t>
  </si>
  <si>
    <t xml:space="preserve">capacitor.config.ts + ios/ + android/ + src/app/api/mobile/*</t>
  </si>
  <si>
    <t xml:space="preserve">[2026-04-17] Issues #24, #49, #50.</t>
  </si>
  <si>
    <t xml:space="preserve">T-416</t>
  </si>
  <si>
    <t xml:space="preserve">Configure Brevo SMTP in Supabase Auth settings (replace default Supabase mailer)</t>
  </si>
  <si>
    <t xml:space="preserve">Supabase Auth → SMTP provider</t>
  </si>
  <si>
    <t xml:space="preserve">[2026-04-17] Issue #46. Quota widened for magic-link volume.</t>
  </si>
  <si>
    <t xml:space="preserve">T-417</t>
  </si>
  <si>
    <t xml:space="preserve">Publish 6 legal docs as /legal/* routes with DRAFT banner (privacy, terms, refund, cookies, CGU, ML notice) FR+EN</t>
  </si>
  <si>
    <t xml:space="preserve">src/app/[locale]/legal/*</t>
  </si>
  <si>
    <t xml:space="preserve">[2026-04-17] Issue #17.</t>
  </si>
  <si>
    <t xml:space="preserve">T-418</t>
  </si>
  <si>
    <t xml:space="preserve">Enable Stripe Tax + register OSS (guichet unique) with DGFiP — TVA 20% FR standard rate, OSS for non-FR EU B2C</t>
  </si>
  <si>
    <t xml:space="preserve">Stripe Tax enabled + OSS registration receipt</t>
  </si>
  <si>
    <t xml:space="preserve">Issue #37. Required before first non-FR-EU invoice.</t>
  </si>
  <si>
    <t xml:space="preserve">T-419</t>
  </si>
  <si>
    <t xml:space="preserve">ECB daily refresh cron — EUR/GBP rate refresh for multi-currency totals</t>
  </si>
  <si>
    <t xml:space="preserve">Supabase Edge Function or Vercel cron</t>
  </si>
  <si>
    <t xml:space="preserve">Issue #27. Not blocking soft launch (FR-only).</t>
  </si>
  <si>
    <t xml:space="preserve">T-420</t>
  </si>
  <si>
    <t xml:space="preserve">T-103 core pipeline tests — payment → scan → report → email, dry run before soft launch</t>
  </si>
  <si>
    <t xml:space="preserve">T-020, T-414</t>
  </si>
  <si>
    <t xml:space="preserve">tests/pipelines/*.test.ts + dry-run report</t>
  </si>
  <si>
    <t xml:space="preserve">Issue #26. Must pass before 11 May.</t>
  </si>
  <si>
    <t xml:space="preserve">T-421</t>
  </si>
  <si>
    <t xml:space="preserve">Consents table + 4 UX touchpoints (signup, payment, scan, dispute) — GDPR Art 7 + ePrivacy</t>
  </si>
  <si>
    <t xml:space="preserve">T-001, T-422, T-423</t>
  </si>
  <si>
    <t xml:space="preserve">supabase/migrations + src/components/consent/* + /api/consents</t>
  </si>
  <si>
    <t xml:space="preserve">Issue #29. Blocked by #47 OAuth External + #48 Magic Link template.</t>
  </si>
  <si>
    <t xml:space="preserve">T-422</t>
  </si>
  <si>
    <t xml:space="preserve">Switch Google OAuth consent screen from Internal to External user type</t>
  </si>
  <si>
    <t xml:space="preserve">Google Cloud Console → OAuth consent screen → External</t>
  </si>
  <si>
    <t xml:space="preserve">Issue #47. Blocks T-421 signup path.</t>
  </si>
  <si>
    <t xml:space="preserve">T-423</t>
  </si>
  <si>
    <t xml:space="preserve">Edit Supabase Magic Link email template to use token_hash + type (new PKCE flow)</t>
  </si>
  <si>
    <t xml:space="preserve">Supabase Auth → Email templates → Magic Link</t>
  </si>
  <si>
    <t xml:space="preserve">Issue #48. Blocks T-421 signup path.</t>
  </si>
  <si>
    <t xml:space="preserve">T-424</t>
  </si>
  <si>
    <t xml:space="preserve">Set up Telegram push channel — BotFather token + chat_id + LaunchAgent integration</t>
  </si>
  <si>
    <t xml:space="preserve">~/.paperclip-monitor.env + LaunchAgent plist</t>
  </si>
  <si>
    <t xml:space="preserve">Issue #32.</t>
  </si>
  <si>
    <t xml:space="preserve">T-425</t>
  </si>
  <si>
    <t xml:space="preserve">App icons, splash screens, store listings (copy + screenshots ZH/AR/UR) for App Store + Play Store</t>
  </si>
  <si>
    <t xml:space="preserve">ios/App/Assets.xcassets + android/app/src/main/res/* + store listing copy</t>
  </si>
  <si>
    <t xml:space="preserve">Issue #31. After soft launch.</t>
  </si>
  <si>
    <t xml:space="preserve">T-426</t>
  </si>
  <si>
    <t xml:space="preserve">Wire end-to-end pipeline Stripe → Supabase → R2 → Haiku scan → @react-pdf/renderer → R2 → Brevo email</t>
  </si>
  <si>
    <t xml:space="preserve">T-020, T-413, T-416</t>
  </si>
  <si>
    <t xml:space="preserve">src/app/api/webhooks/stripe/route.ts (extended) + /api/pipelines/*</t>
  </si>
  <si>
    <t xml:space="preserve">Issue #25. Core revenue path. Must ship by 8 May dry run.</t>
  </si>
  <si>
    <t xml:space="preserve">T-427</t>
  </si>
  <si>
    <t xml:space="preserve">Decide médiateur de la consommation (CMAP, SMP, Medicys) — mandatory per art. L612-1 Code conso</t>
  </si>
  <si>
    <t xml:space="preserve">Signed adhésion + médiateur name/URL surfaced on /legal/* footer + CGV</t>
  </si>
  <si>
    <t xml:space="preserve">Issue #15. Pre-launch regulatory gate.</t>
  </si>
  <si>
    <t xml:space="preserve">T-428</t>
  </si>
  <si>
    <t xml:space="preserve">Align EDL condition taxonomy to French legal labels (bon/moyen/mauvais/très mauvais état) across grille + UI + report</t>
  </si>
  <si>
    <t xml:space="preserve">src/lib/inspection/elements.ts + src/lib/ai/prompts/scan-v2.ts + report renderer</t>
  </si>
  <si>
    <t xml:space="preserve">Issue #35. Removes EN/FR label drift before soft launch.</t>
  </si>
  <si>
    <t xml:space="preserve">T-429</t>
  </si>
  <si>
    <t xml:space="preserve">Post-launch: préavis letter add-on €5 with zone tendue lookup</t>
  </si>
  <si>
    <t xml:space="preserve">src/app/[locale]/preavis/* + /api/ai/preavis + SKU preavis_letter</t>
  </si>
  <si>
    <t xml:space="preserve">Issue #41. Post-11-May launch. SKU already in stripe.ts.</t>
  </si>
  <si>
    <t xml:space="preserve">T-430</t>
  </si>
  <si>
    <t xml:space="preserve">Post-launch: pre-exit self-check mode — 15-20 days before move-out, tenant self-audit against entry baseline</t>
  </si>
  <si>
    <t xml:space="preserve">src/app/[locale]/pre-exit/* + /api/ai/pre-exit-checklist</t>
  </si>
  <si>
    <t xml:space="preserve">Issue #42. Post-launch, unlocks exit-scan conversion path.</t>
  </si>
  <si>
    <t xml:space="preserve">Day</t>
  </si>
  <si>
    <t xml:space="preserve">Time</t>
  </si>
  <si>
    <t xml:space="preserve">Activity</t>
  </si>
  <si>
    <t xml:space="preserve">Who</t>
  </si>
  <si>
    <t xml:space="preserve">Input</t>
  </si>
  <si>
    <t xml:space="preserve">Output</t>
  </si>
  <si>
    <t xml:space="preserve">Duration</t>
  </si>
  <si>
    <t xml:space="preserve">Monday</t>
  </si>
  <si>
    <t xml:space="preserve">09:00</t>
  </si>
  <si>
    <t xml:space="preserve">CEO Agent weekly review run</t>
  </si>
  <si>
    <t xml:space="preserve">CEO Agent (auto)</t>
  </si>
  <si>
    <t xml:space="preserve">All open issues + status from Paperclip</t>
  </si>
  <si>
    <t xml:space="preserve">Strategic priority list + risk flags on Telegram</t>
  </si>
  <si>
    <t xml:space="preserve">~5 min run</t>
  </si>
  <si>
    <t xml:space="preserve">09:30</t>
  </si>
  <si>
    <t xml:space="preserve">Dr Mubashir reviews CEO output + updates reste-à-faire</t>
  </si>
  <si>
    <t xml:space="preserve">CEO review + this Excel</t>
  </si>
  <si>
    <t xml:space="preserve">Updated task statuses, new tasks if needed</t>
  </si>
  <si>
    <t xml:space="preserve">15 min</t>
  </si>
  <si>
    <t xml:space="preserve">Mon-Thu</t>
  </si>
  <si>
    <t xml:space="preserve">Working hours</t>
  </si>
  <si>
    <t xml:space="preserve">Execution: Claude Cowork sessions on P0/P1 tasks</t>
  </si>
  <si>
    <t xml:space="preserve">Dr Mubashir + Claude</t>
  </si>
  <si>
    <t xml:space="preserve">Reste-à-faire priority order</t>
  </si>
  <si>
    <t xml:space="preserve">Code commits, configs, content</t>
  </si>
  <si>
    <t xml:space="preserve">As available</t>
  </si>
  <si>
    <t xml:space="preserve">Wednesday</t>
  </si>
  <si>
    <t xml:space="preserve">On demand</t>
  </si>
  <si>
    <t xml:space="preserve">CTO review run (if architecture decision needed)</t>
  </si>
  <si>
    <t xml:space="preserve">Dr Mubashir triggers</t>
  </si>
  <si>
    <t xml:space="preserve">Specific question or PR to review</t>
  </si>
  <si>
    <t xml:space="preserve">Technical recommendation on Telegram</t>
  </si>
  <si>
    <t xml:space="preserve">~3 min run</t>
  </si>
  <si>
    <t xml:space="preserve">Friday</t>
  </si>
  <si>
    <t xml:space="preserve">17:00</t>
  </si>
  <si>
    <t xml:space="preserve">Weekly reste-à-faire update + git push</t>
  </si>
  <si>
    <t xml:space="preserve">This Excel + git status</t>
  </si>
  <si>
    <t xml:space="preserve">Updated Excel, clean git history</t>
  </si>
  <si>
    <t xml:space="preserve">20 min</t>
  </si>
  <si>
    <t xml:space="preserve">17:30</t>
  </si>
  <si>
    <t xml:space="preserve">Telegram digest: week summary (automated)</t>
  </si>
  <si>
    <t xml:space="preserve">Monitor script</t>
  </si>
  <si>
    <t xml:space="preserve">Paperclip DB state</t>
  </si>
  <si>
    <t xml:space="preserve">Agent run stats + issue counts</t>
  </si>
  <si>
    <t xml:space="preserve">Auto</t>
  </si>
  <si>
    <t xml:space="preserve">End of month</t>
  </si>
  <si>
    <t xml:space="preserve">Any</t>
  </si>
  <si>
    <t xml:space="preserve">Monthly financial review vs. projections</t>
  </si>
  <si>
    <t xml:space="preserve">Expenses + 04-Financial projections</t>
  </si>
  <si>
    <t xml:space="preserve">Variance report</t>
  </si>
  <si>
    <t xml:space="preserve">1 hour</t>
  </si>
  <si>
    <t xml:space="preserve">PAPERCLIP RECONFIGURATION SQL — Run these in order</t>
  </si>
  <si>
    <t xml:space="preserve">Step</t>
  </si>
  <si>
    <t xml:space="preserve">SQL Command</t>
  </si>
  <si>
    <t xml:space="preserve">1. Cancel all queued wakeups</t>
  </si>
  <si>
    <t xml:space="preserve">UPDATE agent_wakeup_requests SET status = 'cancelled' WHERE status = 'queued';</t>
  </si>
  <si>
    <t xml:space="preserve">2. Pause all Ollama agents</t>
  </si>
  <si>
    <t xml:space="preserve">UPDATE agents SET paused_at = NOW(), pause_reason = 'option_c_governance_only' WHERE adapter_type = 'codex_local';</t>
  </si>
  <si>
    <t xml:space="preserve">3. Keep CEO + CTO active</t>
  </si>
  <si>
    <t xml:space="preserve">UPDATE agents SET paused_at = NULL, pause_reason = NULL WHERE adapter_type = 'claude_local';</t>
  </si>
  <si>
    <t xml:space="preserve">4. Reset CTO budget (fresh start)</t>
  </si>
  <si>
    <t xml:space="preserve">UPDATE agents SET spent_monthly_cents = 0 WHERE name = 'CTO';</t>
  </si>
  <si>
    <t xml:space="preserve">5. Close stale CTO issues</t>
  </si>
  <si>
    <t xml:space="preserve">UPDATE issues SET status = 'done' WHERE assignee_agent_id = (SELECT id FROM agents WHERE name = 'CTO') AND status IN ('backlog') AND title LIKE '%Hire%';</t>
  </si>
  <si>
    <t xml:space="preserve">6. Close stale CTO directive</t>
  </si>
  <si>
    <t xml:space="preserve">UPDATE issues SET status = 'done' WHERE assignee_agent_id = (SELECT id FROM agents WHERE name = 'CTO') AND title LIKE '%OPERATING DIRECTIVE%';</t>
  </si>
  <si>
    <t xml:space="preserve">7. Archive unassigned backlog</t>
  </si>
  <si>
    <t xml:space="preserve">UPDATE issues SET status = 'done' WHERE assignee_agent_id IS NULL AND status = 'backlog';</t>
  </si>
  <si>
    <t xml:space="preserve">VERIFICATION QUERY</t>
  </si>
  <si>
    <t xml:space="preserve">Check final state</t>
  </si>
  <si>
    <t xml:space="preserve">SELECT name, status, adapter_type, paused_at IS NOT NULL as paused, budget_monthly_cents, spent_monthly_cents FROM agents ORDER BY name;</t>
  </si>
  <si>
    <t xml:space="preserve">COMBINED ONE-LINER (copy-paste into Terminal)</t>
  </si>
  <si>
    <t xml:space="preserve">Full reconfiguration</t>
  </si>
  <si>
    <t xml:space="preserve">PGPASSWORD=paperclip /opt/homebrew/Cellar/libpq/18.3/bin/psql -h localhost -p 54329 -U paperclip -d paperclip -c "
UPDATE agent_wakeup_requests SET status = 'cancelled' WHERE status = 'queued';
UPDATE agents SET paused_at = NOW(), pause_reason = 'option_c_governance_only' WHERE adapter_type = 'codex_local';
UPDATE agents SET paused_at = NULL, pause_reason = NULL WHERE adapter_type = 'claude_local';
UPDATE agents SET spent_monthly_cents = 0 WHERE name = 'CTO';
UPDATE issues SET status = 'done' WHERE assignee_agent_id = (SELECT id FROM agents WHERE name = 'CTO') AND status = 'backlog';
UPDATE issues SET status = 'done' WHERE assignee_agent_id IS NULL AND status = 'backlog';
SELECT name, status, adapter_type, CASE WHEN paused_at IS NOT NULL THEN 'PAUSED' ELSE 'ACTIVE' END as state, budget_monthly_cents/100 as budget_usd, spent_monthly_cents/100 as spent_usd FROM agents ORDER BY name;
"
</t>
  </si>
  <si>
    <t xml:space="preserve">PAPERCLIP STATUS — RETIRED 2026-04-17 (dashboard-only)</t>
  </si>
  <si>
    <t xml:space="preserve">Issue #18 closed: all 10 agents paused, 14 issues closed. governance-sync LaunchAgent runs every 30 min.</t>
  </si>
  <si>
    <t xml:space="preserve">Execution runs through Claude Cowork sessions; no agent fleet.</t>
  </si>
  <si>
    <t xml:space="preserve">Agent</t>
  </si>
  <si>
    <t xml:space="preserve">Model</t>
  </si>
  <si>
    <t xml:space="preserve">State</t>
  </si>
  <si>
    <t xml:space="preserve">Budget</t>
  </si>
  <si>
    <t xml:space="preserve">Spent</t>
  </si>
  <si>
    <t xml:space="preserve">Retirement note</t>
  </si>
  <si>
    <t xml:space="preserve">codex_local</t>
  </si>
  <si>
    <t xml:space="preserve">gpt-4o-mini</t>
  </si>
  <si>
    <t xml:space="preserve">PAUSED</t>
  </si>
  <si>
    <t xml:space="preserve">$15</t>
  </si>
  <si>
    <t xml:space="preserve">$4.06</t>
  </si>
  <si>
    <t xml:space="preserve">Chat-only; never executed tool calls.</t>
  </si>
  <si>
    <t xml:space="preserve">$20</t>
  </si>
  <si>
    <t xml:space="preserve">$13.78</t>
  </si>
  <si>
    <t xml:space="preserve">gemma4:e4b</t>
  </si>
  <si>
    <t xml:space="preserve">$5</t>
  </si>
  <si>
    <t xml:space="preserve">$0.00</t>
  </si>
  <si>
    <t xml:space="preserve">Ollama adapter failed (0% success).</t>
  </si>
  <si>
    <t xml:space="preserve">Head of Governance</t>
  </si>
  <si>
    <t xml:space="preserve">Error state before retirement.</t>
  </si>
  <si>
    <t xml:space="preserve">ISSUE SUMMARY (final, frozen 2026-04-17)</t>
  </si>
  <si>
    <t xml:space="preserve">done</t>
  </si>
  <si>
    <t xml:space="preserve">closed at retirement</t>
  </si>
  <si>
    <t xml:space="preserve">obsolete (T-084..T-316)</t>
  </si>
  <si>
    <t xml:space="preserve">REPLACEMENT</t>
  </si>
  <si>
    <t xml:space="preserve">Execution: Claude Cowork session cadence (see Weekly Cadence tab).</t>
  </si>
  <si>
    <t xml:space="preserve">Monitoring: governance-sync LaunchAgent every 30 min + Telegram digest (T-424 in progress).</t>
  </si>
  <si>
    <t xml:space="preserve">RUN HISTORY (Last 24h) — 2026-04-17 19:19</t>
  </si>
  <si>
    <t xml:space="preserve">Error</t>
  </si>
  <si>
    <t xml:space="preserve">Started</t>
  </si>
  <si>
    <t xml:space="preserve">Finished</t>
  </si>
  <si>
    <t xml:space="preserve">succeeded</t>
  </si>
  <si>
    <t xml:space="preserve">0m</t>
  </si>
  <si>
    <t xml:space="preserve">2026-04-17 12:12:52</t>
  </si>
  <si>
    <t xml:space="preserve">2026-04-17 12:13:12</t>
  </si>
  <si>
    <t xml:space="preserve">2026-04-17 12:07:22</t>
  </si>
  <si>
    <t xml:space="preserve">2026-04-17 12:07:30</t>
  </si>
  <si>
    <t xml:space="preserve">2026-04-17 12:01:52</t>
  </si>
  <si>
    <t xml:space="preserve">2026-04-17 12:02:05</t>
  </si>
  <si>
    <t xml:space="preserve">2026-04-17 11:56:22</t>
  </si>
  <si>
    <t xml:space="preserve">2026-04-17 11:56:37</t>
  </si>
  <si>
    <t xml:space="preserve">2026-04-17 11:50:52</t>
  </si>
  <si>
    <t xml:space="preserve">2026-04-17 11:51:19</t>
  </si>
  <si>
    <t xml:space="preserve">2026-04-17 11:45:22</t>
  </si>
  <si>
    <t xml:space="preserve">2026-04-17 11:45:29</t>
  </si>
  <si>
    <t xml:space="preserve">2026-04-17 11:39:52</t>
  </si>
  <si>
    <t xml:space="preserve">2026-04-17 11:40:04</t>
  </si>
  <si>
    <t xml:space="preserve">2026-04-17 11:34:22</t>
  </si>
  <si>
    <t xml:space="preserve">2026-04-17 11:34:41</t>
  </si>
  <si>
    <t xml:space="preserve">2026-04-17 11:28:52</t>
  </si>
  <si>
    <t xml:space="preserve">2026-04-17 11:29:02</t>
  </si>
  <si>
    <t xml:space="preserve">2026-04-17 11:23:22</t>
  </si>
  <si>
    <t xml:space="preserve">2026-04-17 11:23:28</t>
  </si>
  <si>
    <t xml:space="preserve">2026-04-17 11:17:52</t>
  </si>
  <si>
    <t xml:space="preserve">2026-04-17 11:18:03</t>
  </si>
  <si>
    <t xml:space="preserve">2026-04-17 11:12:14</t>
  </si>
  <si>
    <t xml:space="preserve">2026-04-17 11:12:43</t>
  </si>
  <si>
    <t xml:space="preserve">2026-04-17 11:08:52</t>
  </si>
  <si>
    <t xml:space="preserve">2026-04-17 11:08:58</t>
  </si>
  <si>
    <t xml:space="preserve">2026-04-17 11:03:30</t>
  </si>
  <si>
    <t xml:space="preserve">2026-04-17 11:03:37</t>
  </si>
  <si>
    <t xml:space="preserve">2026-04-17 11:03:24</t>
  </si>
  <si>
    <t xml:space="preserve">2026-04-17 11:03:35</t>
  </si>
  <si>
    <t xml:space="preserve">2026-04-17 11:01:52</t>
  </si>
  <si>
    <t xml:space="preserve">2026-04-17 11:02:02</t>
  </si>
  <si>
    <t xml:space="preserve">2026-04-17 10:56:27</t>
  </si>
  <si>
    <t xml:space="preserve">2026-04-17 10:56:35</t>
  </si>
  <si>
    <t xml:space="preserve">2026-04-17 10:53:52</t>
  </si>
  <si>
    <t xml:space="preserve">2026-04-17 10:54:01</t>
  </si>
  <si>
    <t xml:space="preserve">2026-04-17 10:48:22</t>
  </si>
  <si>
    <t xml:space="preserve">2026-04-17 10:48:37</t>
  </si>
  <si>
    <t xml:space="preserve">2026-04-17 10:42:52</t>
  </si>
  <si>
    <t xml:space="preserve">2026-04-17 10:43:02</t>
  </si>
  <si>
    <t xml:space="preserve">2026-04-17 10:37:22</t>
  </si>
  <si>
    <t xml:space="preserve">2026-04-17 10:37:29</t>
  </si>
  <si>
    <t xml:space="preserve">2026-04-17 10:31:52</t>
  </si>
  <si>
    <t xml:space="preserve">2026-04-17 10:32:02</t>
  </si>
  <si>
    <t xml:space="preserve">2026-04-17 10:26:22</t>
  </si>
  <si>
    <t xml:space="preserve">2026-04-17 10:26:28</t>
  </si>
  <si>
    <t xml:space="preserve">2026-04-17 10:20:52</t>
  </si>
  <si>
    <t xml:space="preserve">2026-04-17 10:21:17</t>
  </si>
  <si>
    <t xml:space="preserve">2026-04-17 10:15:22</t>
  </si>
  <si>
    <t xml:space="preserve">2026-04-17 10:15:29</t>
  </si>
  <si>
    <t xml:space="preserve">2026-04-17 10:09:52</t>
  </si>
  <si>
    <t xml:space="preserve">2026-04-17 10:10:05</t>
  </si>
  <si>
    <t xml:space="preserve">2026-04-17 10:04:22</t>
  </si>
  <si>
    <t xml:space="preserve">2026-04-17 10:04:38</t>
  </si>
  <si>
    <t xml:space="preserve">2026-04-17 09:58:52</t>
  </si>
  <si>
    <t xml:space="preserve">2026-04-17 09:59:08</t>
  </si>
  <si>
    <t xml:space="preserve">2026-04-17 09:53:22</t>
  </si>
  <si>
    <t xml:space="preserve">2026-04-17 09:53:29</t>
  </si>
  <si>
    <t xml:space="preserve">2026-04-17 09:47:52</t>
  </si>
  <si>
    <t xml:space="preserve">2026-04-17 09:47:58</t>
  </si>
  <si>
    <t xml:space="preserve">2026-04-17 09:42:22</t>
  </si>
  <si>
    <t xml:space="preserve">2026-04-17 09:42:27</t>
  </si>
  <si>
    <t xml:space="preserve">2026-04-17 09:36:52</t>
  </si>
  <si>
    <t xml:space="preserve">2026-04-17 09:37:00</t>
  </si>
  <si>
    <t xml:space="preserve">8m</t>
  </si>
  <si>
    <t xml:space="preserve">2026-04-17 09:23:27</t>
  </si>
  <si>
    <t xml:space="preserve">2026-04-17 09:31:27</t>
  </si>
  <si>
    <t xml:space="preserve">timed_out</t>
  </si>
  <si>
    <t xml:space="preserve">17m</t>
  </si>
  <si>
    <t xml:space="preserve">Timed out after 900s</t>
  </si>
  <si>
    <t xml:space="preserve">2026-04-17 08:49:10</t>
  </si>
  <si>
    <t xml:space="preserve">2026-04-17 09:06:32</t>
  </si>
  <si>
    <t xml:space="preserve">16m</t>
  </si>
  <si>
    <t xml:space="preserve">2026-04-17 08:16:50</t>
  </si>
  <si>
    <t xml:space="preserve">2026-04-17 08:33:02</t>
  </si>
  <si>
    <t xml:space="preserve">2026-04-17 08:11:20</t>
  </si>
  <si>
    <t xml:space="preserve">2026-04-17 08:11:28</t>
  </si>
  <si>
    <t xml:space="preserve">2026-04-17 08:05:50</t>
  </si>
  <si>
    <t xml:space="preserve">2026-04-17 08:06:12</t>
  </si>
  <si>
    <t xml:space="preserve">2026-04-17 07:59:50</t>
  </si>
  <si>
    <t xml:space="preserve">2026-04-17 08:00:20</t>
  </si>
  <si>
    <t xml:space="preserve">2026-04-17 07:54:20</t>
  </si>
  <si>
    <t xml:space="preserve">2026-04-17 07:54:45</t>
  </si>
  <si>
    <t xml:space="preserve">20m</t>
  </si>
  <si>
    <t xml:space="preserve">2026-04-17 07:33:28</t>
  </si>
  <si>
    <t xml:space="preserve">2026-04-17 07:16:37</t>
  </si>
  <si>
    <t xml:space="preserve">2026-04-17 06:58:44</t>
  </si>
  <si>
    <t xml:space="preserve">28m</t>
  </si>
  <si>
    <t xml:space="preserve">2026-04-17 06:30:30</t>
  </si>
  <si>
    <t xml:space="preserve">2026-04-17 06:13:51</t>
  </si>
  <si>
    <t xml:space="preserve">2026-04-17 05:40:44</t>
  </si>
  <si>
    <t xml:space="preserve">2026-04-17 05:57:55</t>
  </si>
  <si>
    <t xml:space="preserve">15m</t>
  </si>
  <si>
    <t xml:space="preserve">2026-04-17 05:13:44</t>
  </si>
  <si>
    <t xml:space="preserve">2026-04-17 05:28:51</t>
  </si>
  <si>
    <t xml:space="preserve">30m</t>
  </si>
  <si>
    <t xml:space="preserve">2026-04-17 04:26:04</t>
  </si>
  <si>
    <t xml:space="preserve">2026-04-17 04:56:33</t>
  </si>
  <si>
    <t xml:space="preserve">2026-04-17 03:53:51</t>
  </si>
  <si>
    <t xml:space="preserve">2026-04-17 04:10:45</t>
  </si>
  <si>
    <t xml:space="preserve">2026-04-17 03:38:43</t>
  </si>
  <si>
    <t xml:space="preserve">19m</t>
  </si>
  <si>
    <t xml:space="preserve">2026-04-17 03:11:18</t>
  </si>
  <si>
    <t xml:space="preserve">2026-04-17 03:30:37</t>
  </si>
  <si>
    <t xml:space="preserve">2026-04-17 02:37:43</t>
  </si>
  <si>
    <t xml:space="preserve">2026-04-17 02:54:24</t>
  </si>
  <si>
    <t xml:space="preserve">2026-04-17 02:10:00</t>
  </si>
  <si>
    <t xml:space="preserve">2026-04-17 02:27:59</t>
  </si>
  <si>
    <t xml:space="preserve">29m</t>
  </si>
  <si>
    <t xml:space="preserve">2026-04-17 01:25:01</t>
  </si>
  <si>
    <t xml:space="preserve">2026-04-17 01:54:16</t>
  </si>
  <si>
    <t xml:space="preserve">2026-04-17 01:09:55</t>
  </si>
  <si>
    <t xml:space="preserve">2026-04-17 00:33:15</t>
  </si>
  <si>
    <t xml:space="preserve">2026-04-17 00:53:19</t>
  </si>
  <si>
    <t xml:space="preserve">24m</t>
  </si>
  <si>
    <t xml:space="preserve">2026-04-16 23:51:44</t>
  </si>
  <si>
    <t xml:space="preserve">2026-04-17 00:16:23</t>
  </si>
  <si>
    <t xml:space="preserve">2026-04-16 23:23:05</t>
  </si>
  <si>
    <t xml:space="preserve">2026-04-16 23:06:41</t>
  </si>
  <si>
    <t xml:space="preserve">26m</t>
  </si>
  <si>
    <t xml:space="preserve">2026-04-16 22:24:28</t>
  </si>
  <si>
    <t xml:space="preserve">2026-04-16 22:50:39</t>
  </si>
  <si>
    <t xml:space="preserve">18m</t>
  </si>
  <si>
    <t xml:space="preserve">2026-04-16 22:06:27</t>
  </si>
  <si>
    <t xml:space="preserve">31m</t>
  </si>
  <si>
    <t xml:space="preserve">2026-04-16 21:18:50</t>
  </si>
  <si>
    <t xml:space="preserve">2026-04-16 21:50:20</t>
  </si>
  <si>
    <t xml:space="preserve">2026-04-16 21:02:10</t>
  </si>
  <si>
    <t xml:space="preserve">27m</t>
  </si>
  <si>
    <t xml:space="preserve">2026-04-16 20:19:12</t>
  </si>
  <si>
    <t xml:space="preserve">2026-04-16 20:46:53</t>
  </si>
  <si>
    <t xml:space="preserve">2026-04-16 19:47:03</t>
  </si>
  <si>
    <t xml:space="preserve">2026-04-16 20:02:06</t>
  </si>
  <si>
    <t xml:space="preserve">2026-04-16 19:30:43</t>
  </si>
  <si>
    <t xml:space="preserve">2026-04-16 19:30:51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</si>
</sst>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:mm:ss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E74C3C"/>
      <name val="Arial"/>
      <family val="0"/>
      <charset val="1"/>
    </font>
    <font>
      <sz val="10"/>
      <color rgb="FFE74C3C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99999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AFAF1"/>
        <bgColor rgb="FFEBF5FB"/>
      </patternFill>
    </fill>
    <fill>
      <patternFill patternType="solid">
        <fgColor rgb="FFEBF5FB"/>
        <bgColor rgb="FFEAFAF1"/>
      </patternFill>
    </fill>
    <fill>
      <patternFill patternType="solid">
        <fgColor rgb="FFFEF9E7"/>
        <bgColor rgb="FFFFFFFF"/>
      </patternFill>
    </fill>
    <fill>
      <patternFill patternType="solid">
        <fgColor rgb="FFF2F2F2"/>
        <bgColor rgb="FFEBF5FB"/>
      </patternFill>
    </fill>
    <fill>
      <patternFill patternType="solid">
        <fgColor rgb="FFFDEDE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CCCCC"/>
      <rgbColor rgb="FF888888"/>
      <rgbColor rgb="FF9999FF"/>
      <rgbColor rgb="FF8E44AD"/>
      <rgbColor rgb="FFFEF9E7"/>
      <rgbColor rgb="FFEAF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2F2F2"/>
      <rgbColor rgb="FFFDEDEC"/>
      <rgbColor rgb="FF99CCFF"/>
      <rgbColor rgb="FFFF99CC"/>
      <rgbColor rgb="FFCC99FF"/>
      <rgbColor rgb="FFFFCC99"/>
      <rgbColor rgb="FF3498DB"/>
      <rgbColor rgb="FF33CCCC"/>
      <rgbColor rgb="FF99CC00"/>
      <rgbColor rgb="FFFFCC00"/>
      <rgbColor rgb="FFF39C12"/>
      <rgbColor rgb="FFE74C3C"/>
      <rgbColor rgb="FF666699"/>
      <rgbColor rgb="FF999999"/>
      <rgbColor rgb="FF003366"/>
      <rgbColor rgb="FF27AE6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6" colorId="64" zoomScale="101" zoomScaleNormal="101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6" min="3" style="1" width="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.75" hidden="false" customHeight="true" outlineLevel="0" collapsed="false">
      <c r="A4" s="4" t="s">
        <v>2</v>
      </c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111.75" hidden="false" customHeight="true" outlineLevel="0" collapsed="false">
      <c r="A6" s="6" t="s">
        <v>6</v>
      </c>
      <c r="B6" s="6" t="n">
        <f aca="false">COUNTIFS('Reste-à-Faire'!F:F,"P0",'Reste-à-Faire'!E:E,"&lt;&gt;Done",'Reste-à-Faire'!E:E,"&lt;&gt;Cancelled",'Reste-à-Faire'!E:E,"&lt;&gt;")</f>
        <v>14</v>
      </c>
      <c r="C6" s="6" t="s">
        <v>7</v>
      </c>
    </row>
    <row r="7" customFormat="false" ht="69.75" hidden="false" customHeight="true" outlineLevel="0" collapsed="false">
      <c r="A7" s="6" t="s">
        <v>8</v>
      </c>
      <c r="B7" s="6" t="n">
        <f aca="false">COUNTIFS('Reste-à-Faire'!F:F,"P1",'Reste-à-Faire'!E:E,"&lt;&gt;Done",'Reste-à-Faire'!E:E,"&lt;&gt;Cancelled",'Reste-à-Faire'!E:E,"&lt;&gt;")</f>
        <v>20</v>
      </c>
      <c r="C7" s="6" t="s">
        <v>9</v>
      </c>
    </row>
    <row r="8" customFormat="false" ht="55.5" hidden="false" customHeight="true" outlineLevel="0" collapsed="false">
      <c r="A8" s="6" t="s">
        <v>10</v>
      </c>
      <c r="B8" s="6" t="n">
        <f aca="false">COUNTIFS('Reste-à-Faire'!F:F,"P2",'Reste-à-Faire'!E:E,"&lt;&gt;Done",'Reste-à-Faire'!E:E,"&lt;&gt;Cancelled",'Reste-à-Faire'!E:E,"&lt;&gt;")</f>
        <v>7</v>
      </c>
      <c r="C8" s="6" t="s">
        <v>11</v>
      </c>
    </row>
    <row r="10" customFormat="false" ht="15.75" hidden="false" customHeight="true" outlineLevel="0" collapsed="false">
      <c r="A10" s="4" t="s">
        <v>12</v>
      </c>
    </row>
    <row r="11" customFormat="false" ht="15" hidden="false" customHeight="true" outlineLevel="0" collapsed="false">
      <c r="A11" s="5" t="s">
        <v>13</v>
      </c>
      <c r="B11" s="5" t="s">
        <v>14</v>
      </c>
      <c r="C11" s="5" t="s">
        <v>15</v>
      </c>
      <c r="D11" s="5" t="s">
        <v>16</v>
      </c>
      <c r="E11" s="5" t="s">
        <v>17</v>
      </c>
    </row>
    <row r="12" customFormat="false" ht="15" hidden="false" customHeight="true" outlineLevel="0" collapsed="false">
      <c r="A12" s="6" t="s">
        <v>18</v>
      </c>
      <c r="B12" s="6" t="n">
        <f aca="false">COUNTIF('Reste-à-Faire'!B:B,"Agents")</f>
        <v>5</v>
      </c>
      <c r="C12" s="6" t="n">
        <f aca="false">COUNTIFS('Reste-à-Faire'!B:B,"Agents",'Reste-à-Faire'!F:F,"P0")</f>
        <v>3</v>
      </c>
      <c r="D12" s="6" t="n">
        <f aca="false">COUNTIFS('Reste-à-Faire'!B:B,"Agents",'Reste-à-Faire'!F:F,"P1")</f>
        <v>2</v>
      </c>
      <c r="E12" s="6" t="n">
        <f aca="false">COUNTIFS('Reste-à-Faire'!B:B,"Agents",'Reste-à-Faire'!F:F,"P2")</f>
        <v>0</v>
      </c>
    </row>
    <row r="13" customFormat="false" ht="15" hidden="false" customHeight="true" outlineLevel="0" collapsed="false">
      <c r="A13" s="6" t="s">
        <v>19</v>
      </c>
      <c r="B13" s="6" t="n">
        <f aca="false">COUNTIF('Reste-à-Faire'!B:B,"Backend")</f>
        <v>9</v>
      </c>
      <c r="C13" s="6" t="n">
        <f aca="false">COUNTIFS('Reste-à-Faire'!B:B,"Backend",'Reste-à-Faire'!F:F,"P0")</f>
        <v>8</v>
      </c>
      <c r="D13" s="6" t="n">
        <f aca="false">COUNTIFS('Reste-à-Faire'!B:B,"Backend",'Reste-à-Faire'!F:F,"P1")</f>
        <v>1</v>
      </c>
      <c r="E13" s="6" t="n">
        <f aca="false">COUNTIFS('Reste-à-Faire'!B:B,"Backend",'Reste-à-Faire'!F:F,"P2")</f>
        <v>0</v>
      </c>
    </row>
    <row r="14" customFormat="false" ht="15" hidden="false" customHeight="true" outlineLevel="0" collapsed="false">
      <c r="A14" s="6" t="s">
        <v>20</v>
      </c>
      <c r="B14" s="6" t="n">
        <f aca="false">COUNTIF('Reste-à-Faire'!B:B,"Brand")</f>
        <v>4</v>
      </c>
      <c r="C14" s="6" t="n">
        <f aca="false">COUNTIFS('Reste-à-Faire'!B:B,"Brand",'Reste-à-Faire'!F:F,"P0")</f>
        <v>1</v>
      </c>
      <c r="D14" s="6" t="n">
        <f aca="false">COUNTIFS('Reste-à-Faire'!B:B,"Brand",'Reste-à-Faire'!F:F,"P1")</f>
        <v>3</v>
      </c>
      <c r="E14" s="6" t="n">
        <f aca="false">COUNTIFS('Reste-à-Faire'!B:B,"Brand",'Reste-à-Faire'!F:F,"P2")</f>
        <v>0</v>
      </c>
    </row>
    <row r="15" customFormat="false" ht="15" hidden="false" customHeight="true" outlineLevel="0" collapsed="false">
      <c r="A15" s="6" t="s">
        <v>21</v>
      </c>
      <c r="B15" s="6" t="n">
        <f aca="false">COUNTIF('Reste-à-Faire'!B:B,"Database")</f>
        <v>2</v>
      </c>
      <c r="C15" s="6" t="n">
        <f aca="false">COUNTIFS('Reste-à-Faire'!B:B,"Database",'Reste-à-Faire'!F:F,"P0")</f>
        <v>2</v>
      </c>
      <c r="D15" s="6" t="n">
        <f aca="false">COUNTIFS('Reste-à-Faire'!B:B,"Database",'Reste-à-Faire'!F:F,"P1")</f>
        <v>0</v>
      </c>
      <c r="E15" s="6" t="n">
        <f aca="false">COUNTIFS('Reste-à-Faire'!B:B,"Database",'Reste-à-Faire'!F:F,"P2")</f>
        <v>0</v>
      </c>
    </row>
    <row r="16" customFormat="false" ht="15" hidden="false" customHeight="true" outlineLevel="0" collapsed="false">
      <c r="A16" s="6" t="s">
        <v>22</v>
      </c>
      <c r="B16" s="6" t="n">
        <f aca="false">COUNTIF('Reste-à-Faire'!B:B,"Finance")</f>
        <v>2</v>
      </c>
      <c r="C16" s="6" t="n">
        <f aca="false">COUNTIFS('Reste-à-Faire'!B:B,"Finance",'Reste-à-Faire'!F:F,"P0")</f>
        <v>0</v>
      </c>
      <c r="D16" s="6" t="n">
        <f aca="false">COUNTIFS('Reste-à-Faire'!B:B,"Finance",'Reste-à-Faire'!F:F,"P1")</f>
        <v>1</v>
      </c>
      <c r="E16" s="6" t="n">
        <f aca="false">COUNTIFS('Reste-à-Faire'!B:B,"Finance",'Reste-à-Faire'!F:F,"P2")</f>
        <v>1</v>
      </c>
    </row>
    <row r="17" customFormat="false" ht="15" hidden="false" customHeight="true" outlineLevel="0" collapsed="false">
      <c r="A17" s="6" t="s">
        <v>23</v>
      </c>
      <c r="B17" s="6" t="n">
        <f aca="false">COUNTIF('Reste-à-Faire'!B:B,"Frontend")</f>
        <v>5</v>
      </c>
      <c r="C17" s="6" t="n">
        <f aca="false">COUNTIFS('Reste-à-Faire'!B:B,"Frontend",'Reste-à-Faire'!F:F,"P0")</f>
        <v>2</v>
      </c>
      <c r="D17" s="6" t="n">
        <f aca="false">COUNTIFS('Reste-à-Faire'!B:B,"Frontend",'Reste-à-Faire'!F:F,"P1")</f>
        <v>2</v>
      </c>
      <c r="E17" s="6" t="n">
        <f aca="false">COUNTIFS('Reste-à-Faire'!B:B,"Frontend",'Reste-à-Faire'!F:F,"P2")</f>
        <v>1</v>
      </c>
    </row>
    <row r="18" customFormat="false" ht="15" hidden="false" customHeight="true" outlineLevel="0" collapsed="false">
      <c r="A18" s="6" t="s">
        <v>24</v>
      </c>
      <c r="B18" s="6" t="n">
        <f aca="false">COUNTIF('Reste-à-Faire'!B:B,"Governance")</f>
        <v>1</v>
      </c>
      <c r="C18" s="6" t="n">
        <f aca="false">COUNTIFS('Reste-à-Faire'!B:B,"Governance",'Reste-à-Faire'!F:F,"P0")</f>
        <v>0</v>
      </c>
      <c r="D18" s="6" t="n">
        <f aca="false">COUNTIFS('Reste-à-Faire'!B:B,"Governance",'Reste-à-Faire'!F:F,"P1")</f>
        <v>0</v>
      </c>
      <c r="E18" s="6" t="n">
        <f aca="false">COUNTIFS('Reste-à-Faire'!B:B,"Governance",'Reste-à-Faire'!F:F,"P2")</f>
        <v>1</v>
      </c>
    </row>
    <row r="19" customFormat="false" ht="15" hidden="false" customHeight="true" outlineLevel="0" collapsed="false">
      <c r="A19" s="6" t="s">
        <v>25</v>
      </c>
      <c r="B19" s="6" t="n">
        <f aca="false">COUNTIF('Reste-à-Faire'!B:B,"Infrastructure")</f>
        <v>10</v>
      </c>
      <c r="C19" s="6" t="n">
        <f aca="false">COUNTIFS('Reste-à-Faire'!B:B,"Infrastructure",'Reste-à-Faire'!F:F,"P0")</f>
        <v>8</v>
      </c>
      <c r="D19" s="6" t="n">
        <f aca="false">COUNTIFS('Reste-à-Faire'!B:B,"Infrastructure",'Reste-à-Faire'!F:F,"P1")</f>
        <v>2</v>
      </c>
      <c r="E19" s="6" t="n">
        <f aca="false">COUNTIFS('Reste-à-Faire'!B:B,"Infrastructure",'Reste-à-Faire'!F:F,"P2")</f>
        <v>0</v>
      </c>
    </row>
    <row r="20" customFormat="false" ht="15" hidden="false" customHeight="true" outlineLevel="0" collapsed="false">
      <c r="A20" s="6" t="s">
        <v>26</v>
      </c>
      <c r="B20" s="6" t="n">
        <f aca="false">COUNTIF('Reste-à-Faire'!B:B,"Legal")</f>
        <v>12</v>
      </c>
      <c r="C20" s="6" t="n">
        <f aca="false">COUNTIFS('Reste-à-Faire'!B:B,"Legal",'Reste-à-Faire'!F:F,"P0")</f>
        <v>11</v>
      </c>
      <c r="D20" s="6" t="n">
        <f aca="false">COUNTIFS('Reste-à-Faire'!B:B,"Legal",'Reste-à-Faire'!F:F,"P1")</f>
        <v>1</v>
      </c>
      <c r="E20" s="6" t="n">
        <f aca="false">COUNTIFS('Reste-à-Faire'!B:B,"Legal",'Reste-à-Faire'!F:F,"P2")</f>
        <v>0</v>
      </c>
    </row>
    <row r="21" customFormat="false" ht="15" hidden="false" customHeight="true" outlineLevel="0" collapsed="false">
      <c r="A21" s="6" t="s">
        <v>27</v>
      </c>
      <c r="B21" s="6" t="n">
        <f aca="false">COUNTIF('Reste-à-Faire'!B:B,"Marketing")</f>
        <v>6</v>
      </c>
      <c r="C21" s="6" t="n">
        <f aca="false">COUNTIFS('Reste-à-Faire'!B:B,"Marketing",'Reste-à-Faire'!F:F,"P0")</f>
        <v>0</v>
      </c>
      <c r="D21" s="6" t="n">
        <f aca="false">COUNTIFS('Reste-à-Faire'!B:B,"Marketing",'Reste-à-Faire'!F:F,"P1")</f>
        <v>5</v>
      </c>
      <c r="E21" s="6" t="n">
        <f aca="false">COUNTIFS('Reste-à-Faire'!B:B,"Marketing",'Reste-à-Faire'!F:F,"P2")</f>
        <v>1</v>
      </c>
    </row>
    <row r="22" customFormat="false" ht="15" hidden="false" customHeight="true" outlineLevel="0" collapsed="false">
      <c r="A22" s="1" t="s">
        <v>28</v>
      </c>
      <c r="B22" s="1" t="n">
        <f aca="false">COUNTIF('Reste-à-Faire'!B:B,"Mobile")</f>
        <v>8</v>
      </c>
      <c r="C22" s="1" t="n">
        <f aca="false">COUNTIFS('Reste-à-Faire'!B:B,"Mobile",'Reste-à-Faire'!F:F,"P0")</f>
        <v>0</v>
      </c>
      <c r="D22" s="1" t="n">
        <f aca="false">COUNTIFS('Reste-à-Faire'!B:B,"Mobile",'Reste-à-Faire'!F:F,"P1")</f>
        <v>2</v>
      </c>
      <c r="E22" s="1" t="n">
        <f aca="false">COUNTIFS('Reste-à-Faire'!B:B,"Mobile",'Reste-à-Faire'!F:F,"P2")</f>
        <v>6</v>
      </c>
    </row>
    <row r="23" customFormat="false" ht="15" hidden="false" customHeight="true" outlineLevel="0" collapsed="false">
      <c r="A23" s="1" t="s">
        <v>29</v>
      </c>
      <c r="B23" s="1" t="n">
        <f aca="false">COUNTIF('Reste-à-Faire'!B:B,"Paperclip")</f>
        <v>35</v>
      </c>
      <c r="C23" s="1" t="n">
        <f aca="false">COUNTIFS('Reste-à-Faire'!B:B,"Paperclip",'Reste-à-Faire'!F:F,"P0")</f>
        <v>0</v>
      </c>
      <c r="D23" s="1" t="n">
        <f aca="false">COUNTIFS('Reste-à-Faire'!B:B,"Paperclip",'Reste-à-Faire'!F:F,"P1")</f>
        <v>35</v>
      </c>
      <c r="E23" s="1" t="n">
        <f aca="false">COUNTIFS('Reste-à-Faire'!B:B,"Paperclip",'Reste-à-Faire'!F:F,"P2")</f>
        <v>0</v>
      </c>
    </row>
    <row r="24" customFormat="false" ht="15.75" hidden="false" customHeight="true" outlineLevel="0" collapsed="false">
      <c r="A24" s="4" t="s">
        <v>30</v>
      </c>
      <c r="B24" s="1" t="n">
        <f aca="false">COUNTIF('Reste-à-Faire'!B:B,"Pipeline")</f>
        <v>4</v>
      </c>
      <c r="C24" s="1" t="n">
        <f aca="false">COUNTIFS('Reste-à-Faire'!B:B,"Pipeline",'Reste-à-Faire'!F:F,"P0")</f>
        <v>3</v>
      </c>
      <c r="D24" s="1" t="n">
        <f aca="false">COUNTIFS('Reste-à-Faire'!B:B,"Pipeline",'Reste-à-Faire'!F:F,"P1")</f>
        <v>1</v>
      </c>
      <c r="E24" s="1" t="n">
        <f aca="false">COUNTIFS('Reste-à-Faire'!B:B,"Pipeline",'Reste-à-Faire'!F:F,"P2")</f>
        <v>0</v>
      </c>
    </row>
    <row r="25" customFormat="false" ht="15" hidden="false" customHeight="true" outlineLevel="0" collapsed="false">
      <c r="A25" s="5" t="s">
        <v>31</v>
      </c>
      <c r="B25" s="5" t="n">
        <f aca="false">COUNTIF('Reste-à-Faire'!B:B,"Pricing")</f>
        <v>1</v>
      </c>
      <c r="C25" s="5" t="n">
        <f aca="false">COUNTIFS('Reste-à-Faire'!B:B,"Pricing",'Reste-à-Faire'!F:F,"P0")</f>
        <v>1</v>
      </c>
      <c r="D25" s="5" t="n">
        <f aca="false">COUNTIFS('Reste-à-Faire'!B:B,"Pricing",'Reste-à-Faire'!F:F,"P1")</f>
        <v>0</v>
      </c>
      <c r="E25" s="5" t="n">
        <f aca="false">COUNTIFS('Reste-à-Faire'!B:B,"Pricing",'Reste-à-Faire'!F:F,"P2")</f>
        <v>0</v>
      </c>
    </row>
    <row r="26" customFormat="false" ht="15" hidden="false" customHeight="true" outlineLevel="0" collapsed="false">
      <c r="A26" s="6" t="s">
        <v>32</v>
      </c>
      <c r="B26" s="6" t="n">
        <f aca="false">COUNTIF('Reste-à-Faire'!B:B,"Product")</f>
        <v>2</v>
      </c>
      <c r="C26" s="6" t="n">
        <f aca="false">COUNTIFS('Reste-à-Faire'!B:B,"Product",'Reste-à-Faire'!F:F,"P0")</f>
        <v>0</v>
      </c>
      <c r="D26" s="6" t="n">
        <f aca="false">COUNTIFS('Reste-à-Faire'!B:B,"Product",'Reste-à-Faire'!F:F,"P1")</f>
        <v>0</v>
      </c>
      <c r="E26" s="6" t="n">
        <f aca="false">COUNTIFS('Reste-à-Faire'!B:B,"Product",'Reste-à-Faire'!F:F,"P2")</f>
        <v>2</v>
      </c>
    </row>
    <row r="27" customFormat="false" ht="15" hidden="false" customHeight="true" outlineLevel="0" collapsed="false">
      <c r="A27" s="6" t="s">
        <v>33</v>
      </c>
      <c r="B27" s="6" t="n">
        <f aca="false">COUNTIF('Reste-à-Faire'!B:B,"QA")</f>
        <v>5</v>
      </c>
      <c r="C27" s="6" t="n">
        <f aca="false">COUNTIFS('Reste-à-Faire'!B:B,"QA",'Reste-à-Faire'!F:F,"P0")</f>
        <v>2</v>
      </c>
      <c r="D27" s="6" t="n">
        <f aca="false">COUNTIFS('Reste-à-Faire'!B:B,"QA",'Reste-à-Faire'!F:F,"P1")</f>
        <v>3</v>
      </c>
      <c r="E27" s="6" t="n">
        <f aca="false">COUNTIFS('Reste-à-Faire'!B:B,"QA",'Reste-à-Faire'!F:F,"P2")</f>
        <v>0</v>
      </c>
    </row>
    <row r="28" customFormat="false" ht="15" hidden="false" customHeight="true" outlineLevel="0" collapsed="false">
      <c r="A28" s="1" t="s">
        <v>34</v>
      </c>
      <c r="B28" s="1" t="n">
        <f aca="false">COUNTIF('Reste-à-Faire'!B:B,"i18n")</f>
        <v>7</v>
      </c>
      <c r="C28" s="1" t="n">
        <f aca="false">COUNTIFS('Reste-à-Faire'!B:B,"i18n",'Reste-à-Faire'!F:F,"P0")</f>
        <v>0</v>
      </c>
      <c r="D28" s="1" t="n">
        <f aca="false">COUNTIFS('Reste-à-Faire'!B:B,"i18n",'Reste-à-Faire'!F:F,"P1")</f>
        <v>6</v>
      </c>
      <c r="E28" s="1" t="n">
        <f aca="false">COUNTIFS('Reste-à-Faire'!B:B,"i18n",'Reste-à-Faire'!F:F,"P2")</f>
        <v>1</v>
      </c>
    </row>
    <row r="29" customFormat="false" ht="15" hidden="false" customHeight="true" outlineLevel="0" collapsed="false">
      <c r="A29" s="1" t="s">
        <v>35</v>
      </c>
      <c r="B29" s="1" t="n">
        <f aca="false">SUM(B12:B28)</f>
        <v>118</v>
      </c>
      <c r="C29" s="1" t="n">
        <f aca="false">SUM(C12:C28)</f>
        <v>41</v>
      </c>
      <c r="D29" s="1" t="n">
        <f aca="false">SUM(D12:D28)</f>
        <v>64</v>
      </c>
      <c r="E29" s="1" t="n">
        <f aca="false">SUM(E12:E28)</f>
        <v>13</v>
      </c>
    </row>
    <row r="30" customFormat="false" ht="15.75" hidden="false" customHeight="true" outlineLevel="0" collapsed="false">
      <c r="A30" s="7"/>
    </row>
    <row r="31" customFormat="false" ht="15" hidden="false" customHeight="true" outlineLevel="0" collapsed="false">
      <c r="A31" s="8" t="s">
        <v>36</v>
      </c>
    </row>
    <row r="32" customFormat="false" ht="15" hidden="false" customHeight="true" outlineLevel="0" collapsed="false">
      <c r="A32" s="8" t="s">
        <v>37</v>
      </c>
      <c r="B32" s="1" t="s">
        <v>14</v>
      </c>
      <c r="C32" s="1" t="s">
        <v>15</v>
      </c>
      <c r="D32" s="1" t="s">
        <v>16</v>
      </c>
      <c r="E32" s="1" t="s">
        <v>17</v>
      </c>
    </row>
    <row r="33" customFormat="false" ht="15" hidden="false" customHeight="true" outlineLevel="0" collapsed="false">
      <c r="A33" s="8" t="s">
        <v>38</v>
      </c>
      <c r="B33" s="1" t="n">
        <f aca="false">COUNTIF('Reste-à-Faire'!D:D,"Claude Cowork")</f>
        <v>53</v>
      </c>
      <c r="C33" s="1" t="n">
        <f aca="false">COUNTIFS('Reste-à-Faire'!D:D,"Claude Cowork",'Reste-à-Faire'!F:F,"P0")</f>
        <v>25</v>
      </c>
      <c r="D33" s="1" t="n">
        <f aca="false">COUNTIFS('Reste-à-Faire'!D:D,"Claude Cowork",'Reste-à-Faire'!F:F,"P1")</f>
        <v>20</v>
      </c>
      <c r="E33" s="1" t="n">
        <f aca="false">COUNTIFS('Reste-à-Faire'!D:D,"Claude Cowork",'Reste-à-Faire'!F:F,"P2")</f>
        <v>8</v>
      </c>
    </row>
    <row r="34" customFormat="false" ht="15" hidden="false" customHeight="true" outlineLevel="0" collapsed="false">
      <c r="A34" s="8" t="s">
        <v>39</v>
      </c>
      <c r="B34" s="1" t="n">
        <f aca="false">COUNTIF('Reste-à-Faire'!D:D,"Dr Mubashir")</f>
        <v>30</v>
      </c>
      <c r="C34" s="1" t="n">
        <f aca="false">COUNTIFS('Reste-à-Faire'!D:D,"Dr Mubashir",'Reste-à-Faire'!F:F,"P0")</f>
        <v>16</v>
      </c>
      <c r="D34" s="1" t="n">
        <f aca="false">COUNTIFS('Reste-à-Faire'!D:D,"Dr Mubashir",'Reste-à-Faire'!F:F,"P1")</f>
        <v>9</v>
      </c>
      <c r="E34" s="1" t="n">
        <f aca="false">COUNTIFS('Reste-à-Faire'!D:D,"Dr Mubashir",'Reste-à-Faire'!F:F,"P2")</f>
        <v>5</v>
      </c>
    </row>
    <row r="35" customFormat="false" ht="15" hidden="false" customHeight="false" outlineLevel="0" collapsed="false">
      <c r="A35" s="1" t="s">
        <v>40</v>
      </c>
      <c r="B35" s="1" t="n">
        <f aca="false">COUNTIF('Reste-à-Faire'!B:B,"Paperclip")</f>
        <v>35</v>
      </c>
      <c r="C35" s="1" t="n">
        <f aca="false">COUNTIFS('Reste-à-Faire'!B:B,"Paperclip",'Reste-à-Faire'!F:F,"P0")</f>
        <v>0</v>
      </c>
      <c r="D35" s="1" t="n">
        <f aca="false">COUNTIFS('Reste-à-Faire'!B:B,"Paperclip",'Reste-à-Faire'!F:F,"P1")</f>
        <v>35</v>
      </c>
      <c r="E35" s="1" t="n">
        <f aca="false">COUNTIFS('Reste-à-Faire'!B:B,"Paperclip",'Reste-à-Faire'!F:F,"P2")</f>
        <v>0</v>
      </c>
    </row>
    <row r="37" customFormat="false" ht="15" hidden="false" customHeight="true" outlineLevel="0" collapsed="false">
      <c r="A37" s="1" t="s">
        <v>41</v>
      </c>
    </row>
    <row r="38" customFormat="false" ht="15" hidden="false" customHeight="true" outlineLevel="0" collapsed="false">
      <c r="A38" s="1" t="s">
        <v>42</v>
      </c>
      <c r="B38" s="1" t="s">
        <v>43</v>
      </c>
    </row>
    <row r="39" customFormat="false" ht="15" hidden="false" customHeight="true" outlineLevel="0" collapsed="false">
      <c r="A39" s="1" t="s">
        <v>44</v>
      </c>
      <c r="B39" s="1" t="n">
        <f aca="false">COUNTIF('Reste-à-Faire'!E:E,"Done")</f>
        <v>52</v>
      </c>
    </row>
    <row r="40" customFormat="false" ht="15" hidden="false" customHeight="true" outlineLevel="0" collapsed="false">
      <c r="A40" s="1" t="s">
        <v>45</v>
      </c>
      <c r="B40" s="1" t="n">
        <f aca="false">COUNTIF('Reste-à-Faire'!E:E,"In Progress")</f>
        <v>8</v>
      </c>
    </row>
    <row r="41" customFormat="false" ht="15" hidden="false" customHeight="true" outlineLevel="0" collapsed="false">
      <c r="A41" s="1" t="s">
        <v>46</v>
      </c>
      <c r="B41" s="1" t="n">
        <f aca="false">COUNTIF('Reste-à-Faire'!E:E,"To Do")</f>
        <v>33</v>
      </c>
    </row>
    <row r="42" customFormat="false" ht="15" hidden="false" customHeight="true" outlineLevel="0" collapsed="false">
      <c r="A42" s="1" t="s">
        <v>47</v>
      </c>
      <c r="B42" s="1" t="n">
        <f aca="false">COUNTIF('Reste-à-Faire'!E:E,"Cancelled")</f>
        <v>25</v>
      </c>
    </row>
    <row r="45" customFormat="false" ht="15" hidden="false" customHeight="true" outlineLevel="0" collapsed="false">
      <c r="A45" s="1" t="s">
        <v>48</v>
      </c>
    </row>
    <row r="46" customFormat="false" ht="15" hidden="false" customHeight="true" outlineLevel="0" collapsed="false">
      <c r="A46" s="1" t="s">
        <v>49</v>
      </c>
    </row>
    <row r="47" customFormat="false" ht="15" hidden="false" customHeight="true" outlineLevel="0" collapsed="false">
      <c r="A47" s="1" t="s">
        <v>50</v>
      </c>
    </row>
    <row r="48" customFormat="false" ht="15" hidden="false" customHeight="true" outlineLevel="0" collapsed="false">
      <c r="A48" s="1" t="s">
        <v>51</v>
      </c>
    </row>
    <row r="49" customFormat="false" ht="15" hidden="false" customHeight="true" outlineLevel="0" collapsed="false">
      <c r="A49" s="1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20"/>
    <col collapsed="false" customWidth="true" hidden="false" outlineLevel="0" max="4" min="4" style="1" width="55"/>
    <col collapsed="false" customWidth="true" hidden="false" outlineLevel="0" max="5" min="5" style="1" width="40"/>
  </cols>
  <sheetData>
    <row r="1" customFormat="false" ht="19.5" hidden="false" customHeight="true" outlineLevel="0" collapsed="false">
      <c r="A1" s="9" t="s">
        <v>53</v>
      </c>
      <c r="B1" s="9"/>
      <c r="C1" s="9"/>
      <c r="D1" s="9"/>
      <c r="E1" s="9"/>
    </row>
    <row r="3" customFormat="false" ht="15" hidden="false" customHeight="true" outlineLevel="0" collapsed="false">
      <c r="A3" s="5" t="s">
        <v>54</v>
      </c>
      <c r="B3" s="5" t="s">
        <v>55</v>
      </c>
      <c r="C3" s="5" t="s">
        <v>56</v>
      </c>
      <c r="D3" s="5" t="s">
        <v>57</v>
      </c>
      <c r="E3" s="5" t="s">
        <v>58</v>
      </c>
    </row>
    <row r="4" customFormat="false" ht="27.75" hidden="false" customHeight="true" outlineLevel="0" collapsed="false">
      <c r="A4" s="6" t="s">
        <v>59</v>
      </c>
      <c r="B4" s="6" t="s">
        <v>60</v>
      </c>
      <c r="C4" s="6" t="s">
        <v>61</v>
      </c>
      <c r="D4" s="6" t="s">
        <v>62</v>
      </c>
      <c r="E4" s="6" t="s">
        <v>63</v>
      </c>
    </row>
    <row r="5" customFormat="false" ht="42" hidden="false" customHeight="true" outlineLevel="0" collapsed="false">
      <c r="A5" s="6" t="s">
        <v>64</v>
      </c>
      <c r="B5" s="6" t="s">
        <v>65</v>
      </c>
      <c r="C5" s="6" t="s">
        <v>61</v>
      </c>
      <c r="D5" s="6" t="s">
        <v>66</v>
      </c>
      <c r="E5" s="6" t="s">
        <v>67</v>
      </c>
    </row>
    <row r="6" customFormat="false" ht="27.75" hidden="false" customHeight="true" outlineLevel="0" collapsed="false">
      <c r="A6" s="6" t="s">
        <v>68</v>
      </c>
      <c r="B6" s="6" t="s">
        <v>69</v>
      </c>
      <c r="C6" s="6" t="s">
        <v>70</v>
      </c>
      <c r="D6" s="6" t="s">
        <v>71</v>
      </c>
      <c r="E6" s="6" t="s">
        <v>72</v>
      </c>
    </row>
    <row r="7" customFormat="false" ht="27.75" hidden="false" customHeight="true" outlineLevel="0" collapsed="false">
      <c r="A7" s="6" t="s">
        <v>73</v>
      </c>
      <c r="B7" s="6" t="s">
        <v>74</v>
      </c>
      <c r="C7" s="6" t="s">
        <v>75</v>
      </c>
      <c r="D7" s="6" t="s">
        <v>76</v>
      </c>
      <c r="E7" s="6" t="s">
        <v>77</v>
      </c>
    </row>
    <row r="9" customFormat="false" ht="15.75" hidden="false" customHeight="true" outlineLevel="0" collapsed="false">
      <c r="A9" s="10" t="s">
        <v>78</v>
      </c>
      <c r="B9" s="10"/>
      <c r="C9" s="10"/>
      <c r="D9" s="10"/>
      <c r="E9" s="10"/>
    </row>
    <row r="10" customFormat="false" ht="15" hidden="false" customHeight="true" outlineLevel="0" collapsed="false">
      <c r="A10" s="11" t="s">
        <v>79</v>
      </c>
      <c r="B10" s="11"/>
      <c r="C10" s="11"/>
      <c r="D10" s="11"/>
      <c r="E10" s="11"/>
    </row>
    <row r="12" customFormat="false" ht="15" hidden="false" customHeight="true" outlineLevel="0" collapsed="false">
      <c r="A12" s="1" t="s">
        <v>80</v>
      </c>
    </row>
    <row r="13" customFormat="false" ht="15" hidden="false" customHeight="true" outlineLevel="0" collapsed="false">
      <c r="A13" s="5" t="s">
        <v>81</v>
      </c>
      <c r="B13" s="5" t="s">
        <v>82</v>
      </c>
    </row>
    <row r="14" customFormat="false" ht="27.75" hidden="false" customHeight="true" outlineLevel="0" collapsed="false">
      <c r="A14" s="6" t="s">
        <v>83</v>
      </c>
      <c r="B14" s="6" t="s">
        <v>84</v>
      </c>
      <c r="C14" s="6"/>
      <c r="D14" s="6"/>
      <c r="E14" s="6"/>
    </row>
    <row r="15" customFormat="false" ht="27.75" hidden="false" customHeight="true" outlineLevel="0" collapsed="false">
      <c r="A15" s="6" t="s">
        <v>85</v>
      </c>
      <c r="B15" s="6" t="s">
        <v>86</v>
      </c>
      <c r="C15" s="6"/>
      <c r="D15" s="6"/>
      <c r="E15" s="6"/>
    </row>
    <row r="16" customFormat="false" ht="23.25" hidden="false" customHeight="true" outlineLevel="0" collapsed="false">
      <c r="A16" s="6" t="s">
        <v>87</v>
      </c>
      <c r="B16" s="6" t="s">
        <v>88</v>
      </c>
      <c r="C16" s="6"/>
      <c r="D16" s="6"/>
      <c r="E16" s="6"/>
    </row>
    <row r="17" customFormat="false" ht="27.75" hidden="false" customHeight="true" outlineLevel="0" collapsed="false">
      <c r="A17" s="6" t="s">
        <v>89</v>
      </c>
      <c r="B17" s="6" t="s">
        <v>90</v>
      </c>
      <c r="C17" s="6"/>
      <c r="D17" s="6"/>
      <c r="E17" s="6"/>
    </row>
  </sheetData>
  <mergeCells count="3">
    <mergeCell ref="A1:E1"/>
    <mergeCell ref="A9:E9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J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C17" activeCellId="0" sqref="C17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80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22"/>
    <col collapsed="false" customWidth="true" hidden="false" outlineLevel="0" max="9" min="9" style="1" width="60"/>
    <col collapsed="false" customWidth="true" hidden="false" outlineLevel="0" max="10" min="10" style="1" width="80"/>
  </cols>
  <sheetData>
    <row r="1" customFormat="false" ht="26.25" hidden="false" customHeight="true" outlineLevel="0" collapsed="false">
      <c r="A1" s="5" t="s">
        <v>91</v>
      </c>
      <c r="B1" s="5" t="s">
        <v>13</v>
      </c>
      <c r="C1" s="5" t="s">
        <v>92</v>
      </c>
      <c r="D1" s="5" t="s">
        <v>37</v>
      </c>
      <c r="E1" s="5" t="s">
        <v>42</v>
      </c>
      <c r="F1" s="5" t="s">
        <v>3</v>
      </c>
      <c r="G1" s="5" t="s">
        <v>93</v>
      </c>
      <c r="H1" s="5" t="s">
        <v>94</v>
      </c>
      <c r="I1" s="5" t="s">
        <v>95</v>
      </c>
      <c r="J1" s="5" t="s">
        <v>96</v>
      </c>
    </row>
    <row r="2" customFormat="false" ht="23.25" hidden="false" customHeight="true" outlineLevel="0" collapsed="false">
      <c r="A2" s="12" t="s">
        <v>97</v>
      </c>
      <c r="B2" s="12" t="s">
        <v>25</v>
      </c>
      <c r="C2" s="12" t="s">
        <v>98</v>
      </c>
      <c r="D2" s="12" t="s">
        <v>39</v>
      </c>
      <c r="E2" s="12" t="s">
        <v>44</v>
      </c>
      <c r="F2" s="12" t="s">
        <v>15</v>
      </c>
      <c r="G2" s="13" t="n">
        <v>46129</v>
      </c>
      <c r="H2" s="12" t="s">
        <v>99</v>
      </c>
      <c r="I2" s="12" t="s">
        <v>100</v>
      </c>
      <c r="J2" s="12" t="s">
        <v>101</v>
      </c>
    </row>
    <row r="3" customFormat="false" ht="15" hidden="false" customHeight="true" outlineLevel="0" collapsed="false">
      <c r="A3" s="14" t="s">
        <v>102</v>
      </c>
      <c r="B3" s="14" t="s">
        <v>25</v>
      </c>
      <c r="C3" s="14" t="s">
        <v>103</v>
      </c>
      <c r="D3" s="14" t="s">
        <v>39</v>
      </c>
      <c r="E3" s="14" t="s">
        <v>44</v>
      </c>
      <c r="F3" s="14" t="s">
        <v>15</v>
      </c>
      <c r="G3" s="15" t="n">
        <v>46129</v>
      </c>
      <c r="H3" s="14" t="s">
        <v>99</v>
      </c>
      <c r="I3" s="14" t="s">
        <v>104</v>
      </c>
      <c r="J3" s="14" t="s">
        <v>105</v>
      </c>
    </row>
    <row r="4" customFormat="false" ht="27.75" hidden="false" customHeight="true" outlineLevel="0" collapsed="false">
      <c r="A4" s="14" t="s">
        <v>106</v>
      </c>
      <c r="B4" s="14" t="s">
        <v>25</v>
      </c>
      <c r="C4" s="14" t="s">
        <v>107</v>
      </c>
      <c r="D4" s="14" t="s">
        <v>39</v>
      </c>
      <c r="E4" s="14" t="s">
        <v>44</v>
      </c>
      <c r="F4" s="14" t="s">
        <v>15</v>
      </c>
      <c r="G4" s="15" t="n">
        <v>46129</v>
      </c>
      <c r="H4" s="14" t="s">
        <v>99</v>
      </c>
      <c r="I4" s="14" t="s">
        <v>108</v>
      </c>
      <c r="J4" s="14" t="s">
        <v>109</v>
      </c>
    </row>
    <row r="5" customFormat="false" ht="23.25" hidden="false" customHeight="true" outlineLevel="0" collapsed="false">
      <c r="A5" s="14" t="s">
        <v>110</v>
      </c>
      <c r="B5" s="14" t="s">
        <v>25</v>
      </c>
      <c r="C5" s="14" t="s">
        <v>111</v>
      </c>
      <c r="D5" s="14" t="s">
        <v>39</v>
      </c>
      <c r="E5" s="14" t="s">
        <v>44</v>
      </c>
      <c r="F5" s="14" t="s">
        <v>15</v>
      </c>
      <c r="G5" s="15" t="n">
        <v>46130</v>
      </c>
      <c r="H5" s="14" t="s">
        <v>112</v>
      </c>
      <c r="I5" s="14" t="s">
        <v>113</v>
      </c>
      <c r="J5" s="14" t="s">
        <v>114</v>
      </c>
    </row>
    <row r="6" customFormat="false" ht="27.75" hidden="false" customHeight="true" outlineLevel="0" collapsed="false">
      <c r="A6" s="14" t="s">
        <v>115</v>
      </c>
      <c r="B6" s="14" t="s">
        <v>25</v>
      </c>
      <c r="C6" s="14" t="s">
        <v>116</v>
      </c>
      <c r="D6" s="14" t="s">
        <v>39</v>
      </c>
      <c r="E6" s="14" t="s">
        <v>45</v>
      </c>
      <c r="F6" s="14" t="s">
        <v>16</v>
      </c>
      <c r="G6" s="15" t="n">
        <v>46132</v>
      </c>
      <c r="H6" s="14" t="s">
        <v>110</v>
      </c>
      <c r="I6" s="14" t="s">
        <v>117</v>
      </c>
      <c r="J6" s="14" t="s">
        <v>118</v>
      </c>
    </row>
    <row r="7" customFormat="false" ht="15" hidden="false" customHeight="true" outlineLevel="0" collapsed="false">
      <c r="A7" s="14" t="s">
        <v>119</v>
      </c>
      <c r="B7" s="14" t="s">
        <v>34</v>
      </c>
      <c r="C7" s="14" t="s">
        <v>120</v>
      </c>
      <c r="D7" s="14" t="s">
        <v>38</v>
      </c>
      <c r="E7" s="14" t="s">
        <v>46</v>
      </c>
      <c r="F7" s="14" t="s">
        <v>16</v>
      </c>
      <c r="G7" s="15" t="n">
        <v>46134</v>
      </c>
      <c r="H7" s="14" t="s">
        <v>99</v>
      </c>
      <c r="I7" s="14" t="s">
        <v>121</v>
      </c>
      <c r="J7" s="14" t="s">
        <v>122</v>
      </c>
    </row>
    <row r="8" customFormat="false" ht="15" hidden="false" customHeight="true" outlineLevel="0" collapsed="false">
      <c r="A8" s="14" t="s">
        <v>123</v>
      </c>
      <c r="B8" s="14" t="s">
        <v>34</v>
      </c>
      <c r="C8" s="14" t="s">
        <v>124</v>
      </c>
      <c r="D8" s="14" t="s">
        <v>38</v>
      </c>
      <c r="E8" s="14" t="s">
        <v>46</v>
      </c>
      <c r="F8" s="14" t="s">
        <v>16</v>
      </c>
      <c r="G8" s="15" t="n">
        <v>46134</v>
      </c>
      <c r="H8" s="14" t="s">
        <v>99</v>
      </c>
      <c r="I8" s="14" t="s">
        <v>125</v>
      </c>
      <c r="J8" s="14" t="s">
        <v>122</v>
      </c>
    </row>
    <row r="9" customFormat="false" ht="15" hidden="false" customHeight="true" outlineLevel="0" collapsed="false">
      <c r="A9" s="14" t="s">
        <v>126</v>
      </c>
      <c r="B9" s="14" t="s">
        <v>34</v>
      </c>
      <c r="C9" s="14" t="s">
        <v>127</v>
      </c>
      <c r="D9" s="14" t="s">
        <v>38</v>
      </c>
      <c r="E9" s="14" t="s">
        <v>46</v>
      </c>
      <c r="F9" s="14" t="s">
        <v>16</v>
      </c>
      <c r="G9" s="15" t="n">
        <v>46134</v>
      </c>
      <c r="H9" s="14" t="s">
        <v>99</v>
      </c>
      <c r="I9" s="14" t="s">
        <v>128</v>
      </c>
      <c r="J9" s="14"/>
    </row>
    <row r="10" customFormat="false" ht="15" hidden="false" customHeight="true" outlineLevel="0" collapsed="false">
      <c r="A10" s="14" t="s">
        <v>129</v>
      </c>
      <c r="B10" s="14" t="s">
        <v>34</v>
      </c>
      <c r="C10" s="14" t="s">
        <v>130</v>
      </c>
      <c r="D10" s="14" t="s">
        <v>38</v>
      </c>
      <c r="E10" s="14" t="s">
        <v>46</v>
      </c>
      <c r="F10" s="14" t="s">
        <v>16</v>
      </c>
      <c r="G10" s="15" t="n">
        <v>46134</v>
      </c>
      <c r="H10" s="14" t="s">
        <v>99</v>
      </c>
      <c r="I10" s="14" t="s">
        <v>131</v>
      </c>
      <c r="J10" s="14"/>
    </row>
    <row r="11" customFormat="false" ht="15" hidden="false" customHeight="true" outlineLevel="0" collapsed="false">
      <c r="A11" s="14" t="s">
        <v>132</v>
      </c>
      <c r="B11" s="14" t="s">
        <v>34</v>
      </c>
      <c r="C11" s="14" t="s">
        <v>133</v>
      </c>
      <c r="D11" s="14" t="s">
        <v>38</v>
      </c>
      <c r="E11" s="14" t="s">
        <v>46</v>
      </c>
      <c r="F11" s="14" t="s">
        <v>17</v>
      </c>
      <c r="G11" s="15" t="n">
        <v>46137</v>
      </c>
      <c r="H11" s="14" t="s">
        <v>99</v>
      </c>
      <c r="I11" s="14" t="s">
        <v>134</v>
      </c>
      <c r="J11" s="14"/>
    </row>
    <row r="12" customFormat="false" ht="15" hidden="false" customHeight="true" outlineLevel="0" collapsed="false">
      <c r="A12" s="14" t="s">
        <v>135</v>
      </c>
      <c r="B12" s="14" t="s">
        <v>34</v>
      </c>
      <c r="C12" s="14" t="s">
        <v>136</v>
      </c>
      <c r="D12" s="14" t="s">
        <v>39</v>
      </c>
      <c r="E12" s="14" t="s">
        <v>46</v>
      </c>
      <c r="F12" s="14" t="s">
        <v>16</v>
      </c>
      <c r="G12" s="15" t="n">
        <v>46141</v>
      </c>
      <c r="H12" s="14" t="s">
        <v>99</v>
      </c>
      <c r="I12" s="14" t="s">
        <v>137</v>
      </c>
      <c r="J12" s="14" t="s">
        <v>138</v>
      </c>
    </row>
    <row r="13" customFormat="false" ht="15" hidden="false" customHeight="true" outlineLevel="0" collapsed="false">
      <c r="A13" s="14" t="s">
        <v>139</v>
      </c>
      <c r="B13" s="14" t="s">
        <v>34</v>
      </c>
      <c r="C13" s="14" t="s">
        <v>140</v>
      </c>
      <c r="D13" s="14" t="s">
        <v>39</v>
      </c>
      <c r="E13" s="14" t="s">
        <v>46</v>
      </c>
      <c r="F13" s="14" t="s">
        <v>16</v>
      </c>
      <c r="G13" s="15" t="n">
        <v>46141</v>
      </c>
      <c r="H13" s="14" t="s">
        <v>99</v>
      </c>
      <c r="I13" s="14" t="s">
        <v>141</v>
      </c>
      <c r="J13" s="14" t="s">
        <v>142</v>
      </c>
    </row>
    <row r="14" customFormat="false" ht="27.75" hidden="false" customHeight="true" outlineLevel="0" collapsed="false">
      <c r="A14" s="14" t="s">
        <v>143</v>
      </c>
      <c r="B14" s="14" t="s">
        <v>30</v>
      </c>
      <c r="C14" s="14" t="s">
        <v>144</v>
      </c>
      <c r="D14" s="14" t="s">
        <v>38</v>
      </c>
      <c r="E14" s="14" t="s">
        <v>45</v>
      </c>
      <c r="F14" s="14" t="s">
        <v>15</v>
      </c>
      <c r="G14" s="15" t="n">
        <v>46135</v>
      </c>
      <c r="H14" s="14" t="s">
        <v>145</v>
      </c>
      <c r="I14" s="14" t="s">
        <v>146</v>
      </c>
      <c r="J14" s="14" t="s">
        <v>147</v>
      </c>
    </row>
    <row r="15" customFormat="false" ht="27.75" hidden="false" customHeight="true" outlineLevel="0" collapsed="false">
      <c r="A15" s="12" t="s">
        <v>148</v>
      </c>
      <c r="B15" s="12" t="s">
        <v>30</v>
      </c>
      <c r="C15" s="12" t="s">
        <v>149</v>
      </c>
      <c r="D15" s="12" t="s">
        <v>38</v>
      </c>
      <c r="E15" s="12" t="s">
        <v>45</v>
      </c>
      <c r="F15" s="12" t="s">
        <v>15</v>
      </c>
      <c r="G15" s="13" t="n">
        <v>46137</v>
      </c>
      <c r="H15" s="12" t="s">
        <v>143</v>
      </c>
      <c r="I15" s="12" t="s">
        <v>150</v>
      </c>
      <c r="J15" s="12" t="s">
        <v>151</v>
      </c>
    </row>
    <row r="16" customFormat="false" ht="27.75" hidden="false" customHeight="true" outlineLevel="0" collapsed="false">
      <c r="A16" s="14" t="s">
        <v>152</v>
      </c>
      <c r="B16" s="14" t="s">
        <v>30</v>
      </c>
      <c r="C16" s="14" t="s">
        <v>153</v>
      </c>
      <c r="D16" s="14" t="s">
        <v>38</v>
      </c>
      <c r="E16" s="14" t="s">
        <v>46</v>
      </c>
      <c r="F16" s="14" t="s">
        <v>16</v>
      </c>
      <c r="G16" s="15" t="n">
        <v>46141</v>
      </c>
      <c r="H16" s="14" t="s">
        <v>154</v>
      </c>
      <c r="I16" s="14" t="s">
        <v>155</v>
      </c>
      <c r="J16" s="14" t="s">
        <v>156</v>
      </c>
    </row>
    <row r="17" customFormat="false" ht="34.5" hidden="false" customHeight="true" outlineLevel="0" collapsed="false">
      <c r="A17" s="14" t="s">
        <v>157</v>
      </c>
      <c r="B17" s="14" t="s">
        <v>26</v>
      </c>
      <c r="C17" s="14" t="s">
        <v>158</v>
      </c>
      <c r="D17" s="14" t="s">
        <v>38</v>
      </c>
      <c r="E17" s="14" t="s">
        <v>44</v>
      </c>
      <c r="F17" s="14" t="s">
        <v>15</v>
      </c>
      <c r="G17" s="15" t="n">
        <v>46133</v>
      </c>
      <c r="H17" s="14" t="s">
        <v>102</v>
      </c>
      <c r="I17" s="14" t="s">
        <v>159</v>
      </c>
      <c r="J17" s="14" t="s">
        <v>160</v>
      </c>
    </row>
    <row r="18" customFormat="false" ht="15" hidden="false" customHeight="true" outlineLevel="0" collapsed="false">
      <c r="A18" s="14" t="s">
        <v>161</v>
      </c>
      <c r="B18" s="14" t="s">
        <v>26</v>
      </c>
      <c r="C18" s="14" t="s">
        <v>162</v>
      </c>
      <c r="D18" s="14" t="s">
        <v>38</v>
      </c>
      <c r="E18" s="14" t="s">
        <v>46</v>
      </c>
      <c r="F18" s="14" t="s">
        <v>15</v>
      </c>
      <c r="G18" s="15" t="n">
        <v>46135</v>
      </c>
      <c r="H18" s="14" t="s">
        <v>163</v>
      </c>
      <c r="I18" s="14" t="s">
        <v>164</v>
      </c>
      <c r="J18" s="14" t="s">
        <v>165</v>
      </c>
    </row>
    <row r="19" customFormat="false" ht="34.5" hidden="false" customHeight="true" outlineLevel="0" collapsed="false">
      <c r="A19" s="12" t="s">
        <v>166</v>
      </c>
      <c r="B19" s="12" t="s">
        <v>26</v>
      </c>
      <c r="C19" s="12" t="s">
        <v>167</v>
      </c>
      <c r="D19" s="12" t="s">
        <v>38</v>
      </c>
      <c r="E19" s="12" t="s">
        <v>44</v>
      </c>
      <c r="F19" s="12" t="s">
        <v>15</v>
      </c>
      <c r="G19" s="13" t="n">
        <v>46133</v>
      </c>
      <c r="H19" s="12" t="s">
        <v>99</v>
      </c>
      <c r="I19" s="12" t="s">
        <v>168</v>
      </c>
      <c r="J19" s="12" t="s">
        <v>169</v>
      </c>
    </row>
    <row r="20" customFormat="false" ht="34.5" hidden="false" customHeight="true" outlineLevel="0" collapsed="false">
      <c r="A20" s="12" t="s">
        <v>170</v>
      </c>
      <c r="B20" s="12" t="s">
        <v>26</v>
      </c>
      <c r="C20" s="12" t="s">
        <v>171</v>
      </c>
      <c r="D20" s="12" t="s">
        <v>38</v>
      </c>
      <c r="E20" s="12" t="s">
        <v>44</v>
      </c>
      <c r="F20" s="12" t="s">
        <v>15</v>
      </c>
      <c r="G20" s="13" t="n">
        <v>46133</v>
      </c>
      <c r="H20" s="12" t="s">
        <v>99</v>
      </c>
      <c r="I20" s="12" t="s">
        <v>172</v>
      </c>
      <c r="J20" s="12" t="s">
        <v>173</v>
      </c>
    </row>
    <row r="21" customFormat="false" ht="15" hidden="false" customHeight="true" outlineLevel="0" collapsed="false">
      <c r="A21" s="14" t="s">
        <v>174</v>
      </c>
      <c r="B21" s="14" t="s">
        <v>26</v>
      </c>
      <c r="C21" s="14" t="s">
        <v>175</v>
      </c>
      <c r="D21" s="14" t="s">
        <v>39</v>
      </c>
      <c r="E21" s="14" t="s">
        <v>46</v>
      </c>
      <c r="F21" s="14" t="s">
        <v>15</v>
      </c>
      <c r="G21" s="15" t="n">
        <v>46137</v>
      </c>
      <c r="H21" s="14" t="s">
        <v>99</v>
      </c>
      <c r="I21" s="14" t="s">
        <v>176</v>
      </c>
      <c r="J21" s="14" t="s">
        <v>177</v>
      </c>
    </row>
    <row r="22" customFormat="false" ht="34.5" hidden="false" customHeight="true" outlineLevel="0" collapsed="false">
      <c r="A22" s="14" t="s">
        <v>178</v>
      </c>
      <c r="B22" s="14" t="s">
        <v>26</v>
      </c>
      <c r="C22" s="14" t="s">
        <v>179</v>
      </c>
      <c r="D22" s="14" t="s">
        <v>39</v>
      </c>
      <c r="E22" s="14" t="s">
        <v>47</v>
      </c>
      <c r="F22" s="14" t="s">
        <v>15</v>
      </c>
      <c r="G22" s="15" t="n">
        <v>46137</v>
      </c>
      <c r="H22" s="14" t="s">
        <v>99</v>
      </c>
      <c r="I22" s="14" t="s">
        <v>176</v>
      </c>
      <c r="J22" s="14" t="s">
        <v>180</v>
      </c>
    </row>
    <row r="23" customFormat="false" ht="45.75" hidden="false" customHeight="true" outlineLevel="0" collapsed="false">
      <c r="A23" s="14" t="s">
        <v>181</v>
      </c>
      <c r="B23" s="14" t="s">
        <v>26</v>
      </c>
      <c r="C23" s="14" t="s">
        <v>182</v>
      </c>
      <c r="D23" s="14" t="s">
        <v>38</v>
      </c>
      <c r="E23" s="14" t="s">
        <v>45</v>
      </c>
      <c r="F23" s="14" t="s">
        <v>16</v>
      </c>
      <c r="G23" s="15" t="n">
        <v>46135</v>
      </c>
      <c r="H23" s="14" t="s">
        <v>143</v>
      </c>
      <c r="I23" s="14" t="s">
        <v>183</v>
      </c>
      <c r="J23" s="14" t="s">
        <v>184</v>
      </c>
    </row>
    <row r="24" customFormat="false" ht="27.75" hidden="false" customHeight="true" outlineLevel="0" collapsed="false">
      <c r="A24" s="14" t="s">
        <v>185</v>
      </c>
      <c r="B24" s="14" t="s">
        <v>33</v>
      </c>
      <c r="C24" s="14" t="s">
        <v>186</v>
      </c>
      <c r="D24" s="14" t="s">
        <v>38</v>
      </c>
      <c r="E24" s="14" t="s">
        <v>46</v>
      </c>
      <c r="F24" s="14" t="s">
        <v>15</v>
      </c>
      <c r="G24" s="15" t="n">
        <v>46139</v>
      </c>
      <c r="H24" s="14" t="s">
        <v>187</v>
      </c>
      <c r="I24" s="14" t="s">
        <v>188</v>
      </c>
      <c r="J24" s="14" t="s">
        <v>189</v>
      </c>
    </row>
    <row r="25" customFormat="false" ht="15" hidden="false" customHeight="true" outlineLevel="0" collapsed="false">
      <c r="A25" s="14" t="s">
        <v>190</v>
      </c>
      <c r="B25" s="14" t="s">
        <v>33</v>
      </c>
      <c r="C25" s="14" t="s">
        <v>191</v>
      </c>
      <c r="D25" s="14" t="s">
        <v>38</v>
      </c>
      <c r="E25" s="14" t="s">
        <v>46</v>
      </c>
      <c r="F25" s="14" t="s">
        <v>16</v>
      </c>
      <c r="G25" s="15" t="n">
        <v>46141</v>
      </c>
      <c r="H25" s="14" t="s">
        <v>119</v>
      </c>
      <c r="I25" s="14" t="s">
        <v>192</v>
      </c>
      <c r="J25" s="14" t="s">
        <v>193</v>
      </c>
    </row>
    <row r="26" customFormat="false" ht="34.5" hidden="false" customHeight="true" outlineLevel="0" collapsed="false">
      <c r="A26" s="14" t="s">
        <v>194</v>
      </c>
      <c r="B26" s="14" t="s">
        <v>33</v>
      </c>
      <c r="C26" s="14" t="s">
        <v>195</v>
      </c>
      <c r="D26" s="14" t="s">
        <v>39</v>
      </c>
      <c r="E26" s="14" t="s">
        <v>46</v>
      </c>
      <c r="F26" s="14" t="s">
        <v>16</v>
      </c>
      <c r="G26" s="15" t="n">
        <v>46139</v>
      </c>
      <c r="H26" s="14" t="s">
        <v>196</v>
      </c>
      <c r="I26" s="14" t="s">
        <v>197</v>
      </c>
      <c r="J26" s="14" t="s">
        <v>198</v>
      </c>
    </row>
    <row r="27" customFormat="false" ht="34.5" hidden="false" customHeight="true" outlineLevel="0" collapsed="false">
      <c r="A27" s="12" t="s">
        <v>199</v>
      </c>
      <c r="B27" s="12" t="s">
        <v>33</v>
      </c>
      <c r="C27" s="12" t="s">
        <v>200</v>
      </c>
      <c r="D27" s="12" t="s">
        <v>38</v>
      </c>
      <c r="E27" s="12" t="s">
        <v>44</v>
      </c>
      <c r="F27" s="12" t="s">
        <v>16</v>
      </c>
      <c r="G27" s="13" t="n">
        <v>46137</v>
      </c>
      <c r="H27" s="12" t="s">
        <v>97</v>
      </c>
      <c r="I27" s="12" t="s">
        <v>201</v>
      </c>
      <c r="J27" s="12" t="s">
        <v>202</v>
      </c>
    </row>
    <row r="28" customFormat="false" ht="34.5" hidden="false" customHeight="true" outlineLevel="0" collapsed="false">
      <c r="A28" s="12" t="s">
        <v>203</v>
      </c>
      <c r="B28" s="12" t="s">
        <v>28</v>
      </c>
      <c r="C28" s="12" t="s">
        <v>204</v>
      </c>
      <c r="D28" s="12" t="s">
        <v>38</v>
      </c>
      <c r="E28" s="12" t="s">
        <v>44</v>
      </c>
      <c r="F28" s="12" t="s">
        <v>17</v>
      </c>
      <c r="G28" s="13" t="n">
        <v>46148</v>
      </c>
      <c r="H28" s="12" t="s">
        <v>205</v>
      </c>
      <c r="I28" s="12" t="s">
        <v>206</v>
      </c>
      <c r="J28" s="12" t="s">
        <v>207</v>
      </c>
    </row>
    <row r="29" customFormat="false" ht="23.25" hidden="false" customHeight="true" outlineLevel="0" collapsed="false">
      <c r="A29" s="12" t="s">
        <v>208</v>
      </c>
      <c r="B29" s="12" t="s">
        <v>28</v>
      </c>
      <c r="C29" s="12" t="s">
        <v>209</v>
      </c>
      <c r="D29" s="12" t="s">
        <v>38</v>
      </c>
      <c r="E29" s="12" t="s">
        <v>44</v>
      </c>
      <c r="F29" s="12" t="s">
        <v>17</v>
      </c>
      <c r="G29" s="13" t="n">
        <v>46150</v>
      </c>
      <c r="H29" s="12" t="s">
        <v>203</v>
      </c>
      <c r="I29" s="12" t="s">
        <v>210</v>
      </c>
      <c r="J29" s="12" t="s">
        <v>211</v>
      </c>
    </row>
    <row r="30" customFormat="false" ht="15" hidden="false" customHeight="true" outlineLevel="0" collapsed="false">
      <c r="A30" s="14" t="s">
        <v>212</v>
      </c>
      <c r="B30" s="14" t="s">
        <v>28</v>
      </c>
      <c r="C30" s="14" t="s">
        <v>213</v>
      </c>
      <c r="D30" s="14" t="s">
        <v>39</v>
      </c>
      <c r="E30" s="14" t="s">
        <v>46</v>
      </c>
      <c r="F30" s="14" t="s">
        <v>17</v>
      </c>
      <c r="G30" s="15" t="n">
        <v>46155</v>
      </c>
      <c r="H30" s="14" t="s">
        <v>208</v>
      </c>
      <c r="I30" s="14" t="s">
        <v>214</v>
      </c>
      <c r="J30" s="14" t="s">
        <v>215</v>
      </c>
    </row>
    <row r="31" customFormat="false" ht="23.25" hidden="false" customHeight="true" outlineLevel="0" collapsed="false">
      <c r="A31" s="12" t="s">
        <v>216</v>
      </c>
      <c r="B31" s="12" t="s">
        <v>28</v>
      </c>
      <c r="C31" s="12" t="s">
        <v>217</v>
      </c>
      <c r="D31" s="12" t="s">
        <v>38</v>
      </c>
      <c r="E31" s="12" t="s">
        <v>44</v>
      </c>
      <c r="F31" s="12" t="s">
        <v>17</v>
      </c>
      <c r="G31" s="13" t="n">
        <v>46148</v>
      </c>
      <c r="H31" s="12" t="s">
        <v>205</v>
      </c>
      <c r="I31" s="12" t="s">
        <v>218</v>
      </c>
      <c r="J31" s="12" t="s">
        <v>219</v>
      </c>
    </row>
    <row r="32" customFormat="false" ht="23.25" hidden="false" customHeight="true" outlineLevel="0" collapsed="false">
      <c r="A32" s="12" t="s">
        <v>220</v>
      </c>
      <c r="B32" s="12" t="s">
        <v>28</v>
      </c>
      <c r="C32" s="12" t="s">
        <v>221</v>
      </c>
      <c r="D32" s="12" t="s">
        <v>38</v>
      </c>
      <c r="E32" s="12" t="s">
        <v>44</v>
      </c>
      <c r="F32" s="12" t="s">
        <v>17</v>
      </c>
      <c r="G32" s="13" t="n">
        <v>46150</v>
      </c>
      <c r="H32" s="12" t="s">
        <v>216</v>
      </c>
      <c r="I32" s="12" t="s">
        <v>222</v>
      </c>
      <c r="J32" s="12" t="s">
        <v>223</v>
      </c>
    </row>
    <row r="33" customFormat="false" ht="15" hidden="false" customHeight="true" outlineLevel="0" collapsed="false">
      <c r="A33" s="14" t="s">
        <v>224</v>
      </c>
      <c r="B33" s="14" t="s">
        <v>28</v>
      </c>
      <c r="C33" s="14" t="s">
        <v>225</v>
      </c>
      <c r="D33" s="14" t="s">
        <v>39</v>
      </c>
      <c r="E33" s="14" t="s">
        <v>46</v>
      </c>
      <c r="F33" s="14" t="s">
        <v>17</v>
      </c>
      <c r="G33" s="15" t="n">
        <v>46155</v>
      </c>
      <c r="H33" s="14" t="s">
        <v>220</v>
      </c>
      <c r="I33" s="14" t="s">
        <v>226</v>
      </c>
      <c r="J33" s="14" t="s">
        <v>227</v>
      </c>
    </row>
    <row r="34" customFormat="false" ht="15" hidden="false" customHeight="true" outlineLevel="0" collapsed="false">
      <c r="A34" s="14" t="s">
        <v>228</v>
      </c>
      <c r="B34" s="14" t="s">
        <v>27</v>
      </c>
      <c r="C34" s="14" t="s">
        <v>229</v>
      </c>
      <c r="D34" s="14" t="s">
        <v>38</v>
      </c>
      <c r="E34" s="14" t="s">
        <v>46</v>
      </c>
      <c r="F34" s="14" t="s">
        <v>16</v>
      </c>
      <c r="G34" s="15" t="n">
        <v>46132</v>
      </c>
      <c r="H34" s="14" t="s">
        <v>110</v>
      </c>
      <c r="I34" s="14" t="s">
        <v>230</v>
      </c>
      <c r="J34" s="14" t="s">
        <v>231</v>
      </c>
    </row>
    <row r="35" customFormat="false" ht="15" hidden="false" customHeight="true" outlineLevel="0" collapsed="false">
      <c r="A35" s="14" t="s">
        <v>232</v>
      </c>
      <c r="B35" s="14" t="s">
        <v>27</v>
      </c>
      <c r="C35" s="14" t="s">
        <v>233</v>
      </c>
      <c r="D35" s="14" t="s">
        <v>39</v>
      </c>
      <c r="E35" s="14" t="s">
        <v>46</v>
      </c>
      <c r="F35" s="14" t="s">
        <v>16</v>
      </c>
      <c r="G35" s="15" t="n">
        <v>46134</v>
      </c>
      <c r="H35" s="14" t="s">
        <v>228</v>
      </c>
      <c r="I35" s="14" t="s">
        <v>234</v>
      </c>
      <c r="J35" s="14" t="s">
        <v>235</v>
      </c>
    </row>
    <row r="36" customFormat="false" ht="15" hidden="false" customHeight="true" outlineLevel="0" collapsed="false">
      <c r="A36" s="14" t="s">
        <v>236</v>
      </c>
      <c r="B36" s="14" t="s">
        <v>27</v>
      </c>
      <c r="C36" s="14" t="s">
        <v>237</v>
      </c>
      <c r="D36" s="14" t="s">
        <v>39</v>
      </c>
      <c r="E36" s="14" t="s">
        <v>46</v>
      </c>
      <c r="F36" s="14" t="s">
        <v>16</v>
      </c>
      <c r="G36" s="15" t="n">
        <v>46136</v>
      </c>
      <c r="H36" s="14" t="s">
        <v>228</v>
      </c>
      <c r="I36" s="14" t="s">
        <v>238</v>
      </c>
      <c r="J36" s="14"/>
    </row>
    <row r="37" customFormat="false" ht="15" hidden="false" customHeight="true" outlineLevel="0" collapsed="false">
      <c r="A37" s="14" t="s">
        <v>239</v>
      </c>
      <c r="B37" s="14" t="s">
        <v>27</v>
      </c>
      <c r="C37" s="14" t="s">
        <v>240</v>
      </c>
      <c r="D37" s="14" t="s">
        <v>39</v>
      </c>
      <c r="E37" s="14" t="s">
        <v>46</v>
      </c>
      <c r="F37" s="14" t="s">
        <v>17</v>
      </c>
      <c r="G37" s="15" t="n">
        <v>46141</v>
      </c>
      <c r="H37" s="14" t="s">
        <v>228</v>
      </c>
      <c r="I37" s="14" t="s">
        <v>241</v>
      </c>
      <c r="J37" s="14" t="s">
        <v>242</v>
      </c>
    </row>
    <row r="38" customFormat="false" ht="15" hidden="false" customHeight="true" outlineLevel="0" collapsed="false">
      <c r="A38" s="14" t="s">
        <v>243</v>
      </c>
      <c r="B38" s="14" t="s">
        <v>27</v>
      </c>
      <c r="C38" s="14" t="s">
        <v>244</v>
      </c>
      <c r="D38" s="14" t="s">
        <v>38</v>
      </c>
      <c r="E38" s="14" t="s">
        <v>46</v>
      </c>
      <c r="F38" s="14" t="s">
        <v>16</v>
      </c>
      <c r="G38" s="15" t="n">
        <v>46139</v>
      </c>
      <c r="H38" s="14" t="s">
        <v>99</v>
      </c>
      <c r="I38" s="14" t="s">
        <v>245</v>
      </c>
      <c r="J38" s="14" t="s">
        <v>246</v>
      </c>
    </row>
    <row r="39" customFormat="false" ht="15" hidden="false" customHeight="true" outlineLevel="0" collapsed="false">
      <c r="A39" s="14" t="s">
        <v>247</v>
      </c>
      <c r="B39" s="14" t="s">
        <v>22</v>
      </c>
      <c r="C39" s="14" t="s">
        <v>248</v>
      </c>
      <c r="D39" s="14" t="s">
        <v>39</v>
      </c>
      <c r="E39" s="14" t="s">
        <v>46</v>
      </c>
      <c r="F39" s="14" t="s">
        <v>16</v>
      </c>
      <c r="G39" s="15" t="n">
        <v>46134</v>
      </c>
      <c r="H39" s="14" t="s">
        <v>99</v>
      </c>
      <c r="I39" s="14" t="s">
        <v>249</v>
      </c>
      <c r="J39" s="14" t="s">
        <v>250</v>
      </c>
    </row>
    <row r="40" customFormat="false" ht="15" hidden="false" customHeight="true" outlineLevel="0" collapsed="false">
      <c r="A40" s="14" t="s">
        <v>251</v>
      </c>
      <c r="B40" s="14" t="s">
        <v>22</v>
      </c>
      <c r="C40" s="14" t="s">
        <v>252</v>
      </c>
      <c r="D40" s="14" t="s">
        <v>39</v>
      </c>
      <c r="E40" s="14" t="s">
        <v>46</v>
      </c>
      <c r="F40" s="14" t="s">
        <v>17</v>
      </c>
      <c r="G40" s="15" t="n">
        <v>46157</v>
      </c>
      <c r="H40" s="14" t="s">
        <v>247</v>
      </c>
      <c r="I40" s="14" t="s">
        <v>253</v>
      </c>
      <c r="J40" s="14" t="s">
        <v>254</v>
      </c>
    </row>
    <row r="41" customFormat="false" ht="45.75" hidden="false" customHeight="true" outlineLevel="0" collapsed="false">
      <c r="A41" s="14" t="s">
        <v>255</v>
      </c>
      <c r="B41" s="14" t="s">
        <v>24</v>
      </c>
      <c r="C41" s="14" t="s">
        <v>256</v>
      </c>
      <c r="D41" s="14" t="s">
        <v>39</v>
      </c>
      <c r="E41" s="14" t="s">
        <v>47</v>
      </c>
      <c r="F41" s="14" t="s">
        <v>17</v>
      </c>
      <c r="G41" s="15" t="n">
        <v>46141</v>
      </c>
      <c r="H41" s="14" t="s">
        <v>99</v>
      </c>
      <c r="I41" s="14" t="s">
        <v>257</v>
      </c>
      <c r="J41" s="14" t="s">
        <v>258</v>
      </c>
    </row>
    <row r="42" customFormat="false" ht="34.5" hidden="false" customHeight="true" outlineLevel="0" collapsed="false">
      <c r="A42" s="14" t="s">
        <v>259</v>
      </c>
      <c r="B42" s="14" t="s">
        <v>18</v>
      </c>
      <c r="C42" s="14" t="s">
        <v>260</v>
      </c>
      <c r="D42" s="14" t="s">
        <v>39</v>
      </c>
      <c r="E42" s="14" t="s">
        <v>44</v>
      </c>
      <c r="F42" s="14" t="s">
        <v>15</v>
      </c>
      <c r="G42" s="15" t="n">
        <v>46127</v>
      </c>
      <c r="H42" s="14" t="s">
        <v>99</v>
      </c>
      <c r="I42" s="14" t="s">
        <v>261</v>
      </c>
      <c r="J42" s="14" t="s">
        <v>262</v>
      </c>
    </row>
    <row r="43" customFormat="false" ht="45.75" hidden="false" customHeight="true" outlineLevel="0" collapsed="false">
      <c r="A43" s="14" t="s">
        <v>263</v>
      </c>
      <c r="B43" s="14" t="s">
        <v>18</v>
      </c>
      <c r="C43" s="14" t="s">
        <v>264</v>
      </c>
      <c r="D43" s="14" t="s">
        <v>39</v>
      </c>
      <c r="E43" s="14" t="s">
        <v>47</v>
      </c>
      <c r="F43" s="14" t="s">
        <v>16</v>
      </c>
      <c r="G43" s="15" t="n">
        <v>46129</v>
      </c>
      <c r="H43" s="14" t="s">
        <v>259</v>
      </c>
      <c r="I43" s="14" t="s">
        <v>265</v>
      </c>
      <c r="J43" s="14" t="s">
        <v>266</v>
      </c>
    </row>
    <row r="44" customFormat="false" ht="34.5" hidden="false" customHeight="true" outlineLevel="0" collapsed="false">
      <c r="A44" s="14" t="s">
        <v>267</v>
      </c>
      <c r="B44" s="14" t="s">
        <v>18</v>
      </c>
      <c r="C44" s="14" t="s">
        <v>268</v>
      </c>
      <c r="D44" s="14" t="s">
        <v>39</v>
      </c>
      <c r="E44" s="14" t="s">
        <v>45</v>
      </c>
      <c r="F44" s="14" t="s">
        <v>15</v>
      </c>
      <c r="G44" s="15" t="n">
        <v>46128</v>
      </c>
      <c r="H44" s="14" t="s">
        <v>99</v>
      </c>
      <c r="I44" s="14" t="s">
        <v>269</v>
      </c>
      <c r="J44" s="14" t="s">
        <v>270</v>
      </c>
    </row>
    <row r="45" customFormat="false" ht="42" hidden="false" customHeight="true" outlineLevel="0" collapsed="false">
      <c r="A45" s="14" t="s">
        <v>271</v>
      </c>
      <c r="B45" s="14" t="s">
        <v>18</v>
      </c>
      <c r="C45" s="14" t="s">
        <v>272</v>
      </c>
      <c r="D45" s="14" t="s">
        <v>39</v>
      </c>
      <c r="E45" s="14" t="s">
        <v>44</v>
      </c>
      <c r="F45" s="14" t="s">
        <v>15</v>
      </c>
      <c r="G45" s="15" t="n">
        <v>46128</v>
      </c>
      <c r="H45" s="14" t="s">
        <v>267</v>
      </c>
      <c r="I45" s="14" t="s">
        <v>273</v>
      </c>
      <c r="J45" s="14" t="s">
        <v>274</v>
      </c>
    </row>
    <row r="46" customFormat="false" ht="45.75" hidden="false" customHeight="true" outlineLevel="0" collapsed="false">
      <c r="A46" s="14" t="s">
        <v>275</v>
      </c>
      <c r="B46" s="14" t="s">
        <v>29</v>
      </c>
      <c r="C46" s="14" t="s">
        <v>276</v>
      </c>
      <c r="D46" s="14" t="s">
        <v>277</v>
      </c>
      <c r="E46" s="14" t="s">
        <v>47</v>
      </c>
      <c r="F46" s="14" t="s">
        <v>16</v>
      </c>
      <c r="G46" s="14"/>
      <c r="H46" s="14"/>
      <c r="I46" s="14"/>
      <c r="J46" s="14" t="s">
        <v>278</v>
      </c>
    </row>
    <row r="47" customFormat="false" ht="45.75" hidden="false" customHeight="true" outlineLevel="0" collapsed="false">
      <c r="A47" s="16" t="s">
        <v>279</v>
      </c>
      <c r="B47" s="16" t="s">
        <v>29</v>
      </c>
      <c r="C47" s="16" t="s">
        <v>280</v>
      </c>
      <c r="D47" s="16" t="s">
        <v>281</v>
      </c>
      <c r="E47" s="16" t="s">
        <v>47</v>
      </c>
      <c r="F47" s="16" t="s">
        <v>16</v>
      </c>
      <c r="G47" s="16"/>
      <c r="H47" s="16"/>
      <c r="I47" s="16"/>
      <c r="J47" s="16" t="s">
        <v>278</v>
      </c>
    </row>
    <row r="48" customFormat="false" ht="45.75" hidden="false" customHeight="true" outlineLevel="0" collapsed="false">
      <c r="A48" s="16" t="s">
        <v>282</v>
      </c>
      <c r="B48" s="16" t="s">
        <v>29</v>
      </c>
      <c r="C48" s="16" t="s">
        <v>283</v>
      </c>
      <c r="D48" s="16" t="s">
        <v>281</v>
      </c>
      <c r="E48" s="16" t="s">
        <v>47</v>
      </c>
      <c r="F48" s="16" t="s">
        <v>16</v>
      </c>
      <c r="G48" s="16"/>
      <c r="H48" s="16"/>
      <c r="I48" s="16"/>
      <c r="J48" s="16" t="s">
        <v>278</v>
      </c>
    </row>
    <row r="49" customFormat="false" ht="45.75" hidden="false" customHeight="true" outlineLevel="0" collapsed="false">
      <c r="A49" s="16" t="s">
        <v>284</v>
      </c>
      <c r="B49" s="16" t="s">
        <v>29</v>
      </c>
      <c r="C49" s="16" t="s">
        <v>285</v>
      </c>
      <c r="D49" s="16" t="s">
        <v>281</v>
      </c>
      <c r="E49" s="16" t="s">
        <v>47</v>
      </c>
      <c r="F49" s="16" t="s">
        <v>16</v>
      </c>
      <c r="G49" s="16"/>
      <c r="H49" s="16"/>
      <c r="I49" s="16"/>
      <c r="J49" s="16" t="s">
        <v>278</v>
      </c>
    </row>
    <row r="50" customFormat="false" ht="45.75" hidden="false" customHeight="true" outlineLevel="0" collapsed="false">
      <c r="A50" s="14" t="s">
        <v>286</v>
      </c>
      <c r="B50" s="14" t="s">
        <v>29</v>
      </c>
      <c r="C50" s="14" t="s">
        <v>287</v>
      </c>
      <c r="D50" s="14" t="s">
        <v>288</v>
      </c>
      <c r="E50" s="14" t="s">
        <v>47</v>
      </c>
      <c r="F50" s="14" t="s">
        <v>16</v>
      </c>
      <c r="G50" s="14"/>
      <c r="H50" s="14"/>
      <c r="I50" s="14"/>
      <c r="J50" s="14" t="s">
        <v>278</v>
      </c>
    </row>
    <row r="51" customFormat="false" ht="45.75" hidden="false" customHeight="true" outlineLevel="0" collapsed="false">
      <c r="A51" s="14" t="s">
        <v>289</v>
      </c>
      <c r="B51" s="14" t="s">
        <v>29</v>
      </c>
      <c r="C51" s="14" t="s">
        <v>290</v>
      </c>
      <c r="D51" s="14" t="s">
        <v>291</v>
      </c>
      <c r="E51" s="14" t="s">
        <v>47</v>
      </c>
      <c r="F51" s="14" t="s">
        <v>16</v>
      </c>
      <c r="G51" s="14"/>
      <c r="H51" s="14"/>
      <c r="I51" s="14"/>
      <c r="J51" s="14" t="s">
        <v>278</v>
      </c>
    </row>
    <row r="52" customFormat="false" ht="45.75" hidden="false" customHeight="true" outlineLevel="0" collapsed="false">
      <c r="A52" s="16" t="s">
        <v>292</v>
      </c>
      <c r="B52" s="16" t="s">
        <v>29</v>
      </c>
      <c r="C52" s="16" t="s">
        <v>293</v>
      </c>
      <c r="D52" s="16" t="s">
        <v>277</v>
      </c>
      <c r="E52" s="16" t="s">
        <v>47</v>
      </c>
      <c r="F52" s="16" t="s">
        <v>16</v>
      </c>
      <c r="G52" s="16"/>
      <c r="H52" s="16"/>
      <c r="I52" s="16"/>
      <c r="J52" s="16" t="s">
        <v>294</v>
      </c>
    </row>
    <row r="53" customFormat="false" ht="45.75" hidden="false" customHeight="true" outlineLevel="0" collapsed="false">
      <c r="A53" s="16" t="s">
        <v>295</v>
      </c>
      <c r="B53" s="16" t="s">
        <v>29</v>
      </c>
      <c r="C53" s="16" t="s">
        <v>296</v>
      </c>
      <c r="D53" s="16" t="s">
        <v>297</v>
      </c>
      <c r="E53" s="16" t="s">
        <v>47</v>
      </c>
      <c r="F53" s="16" t="s">
        <v>16</v>
      </c>
      <c r="G53" s="16"/>
      <c r="H53" s="16"/>
      <c r="I53" s="16"/>
      <c r="J53" s="16" t="s">
        <v>294</v>
      </c>
    </row>
    <row r="54" customFormat="false" ht="45.75" hidden="false" customHeight="true" outlineLevel="0" collapsed="false">
      <c r="A54" s="14" t="s">
        <v>298</v>
      </c>
      <c r="B54" s="14" t="s">
        <v>29</v>
      </c>
      <c r="C54" s="14" t="s">
        <v>299</v>
      </c>
      <c r="D54" s="14" t="s">
        <v>300</v>
      </c>
      <c r="E54" s="14" t="s">
        <v>47</v>
      </c>
      <c r="F54" s="14" t="s">
        <v>16</v>
      </c>
      <c r="G54" s="14"/>
      <c r="H54" s="14"/>
      <c r="I54" s="14"/>
      <c r="J54" s="14" t="s">
        <v>278</v>
      </c>
    </row>
    <row r="55" customFormat="false" ht="45.75" hidden="false" customHeight="true" outlineLevel="0" collapsed="false">
      <c r="A55" s="14" t="s">
        <v>301</v>
      </c>
      <c r="B55" s="14" t="s">
        <v>29</v>
      </c>
      <c r="C55" s="14" t="s">
        <v>302</v>
      </c>
      <c r="D55" s="14" t="s">
        <v>300</v>
      </c>
      <c r="E55" s="14" t="s">
        <v>47</v>
      </c>
      <c r="F55" s="14" t="s">
        <v>16</v>
      </c>
      <c r="G55" s="14"/>
      <c r="H55" s="14"/>
      <c r="I55" s="14"/>
      <c r="J55" s="14" t="s">
        <v>278</v>
      </c>
    </row>
    <row r="56" customFormat="false" ht="45.75" hidden="false" customHeight="true" outlineLevel="0" collapsed="false">
      <c r="A56" s="14" t="s">
        <v>303</v>
      </c>
      <c r="B56" s="14" t="s">
        <v>29</v>
      </c>
      <c r="C56" s="14" t="s">
        <v>304</v>
      </c>
      <c r="D56" s="14" t="s">
        <v>305</v>
      </c>
      <c r="E56" s="14" t="s">
        <v>47</v>
      </c>
      <c r="F56" s="14" t="s">
        <v>16</v>
      </c>
      <c r="G56" s="14"/>
      <c r="H56" s="14"/>
      <c r="I56" s="14"/>
      <c r="J56" s="14" t="s">
        <v>278</v>
      </c>
    </row>
    <row r="57" customFormat="false" ht="45.75" hidden="false" customHeight="true" outlineLevel="0" collapsed="false">
      <c r="A57" s="14" t="s">
        <v>306</v>
      </c>
      <c r="B57" s="14" t="s">
        <v>29</v>
      </c>
      <c r="C57" s="14" t="s">
        <v>307</v>
      </c>
      <c r="D57" s="14" t="s">
        <v>308</v>
      </c>
      <c r="E57" s="14" t="s">
        <v>47</v>
      </c>
      <c r="F57" s="14" t="s">
        <v>16</v>
      </c>
      <c r="G57" s="14"/>
      <c r="H57" s="14"/>
      <c r="I57" s="14"/>
      <c r="J57" s="14" t="s">
        <v>278</v>
      </c>
    </row>
    <row r="58" customFormat="false" ht="45.75" hidden="false" customHeight="true" outlineLevel="0" collapsed="false">
      <c r="A58" s="14" t="s">
        <v>309</v>
      </c>
      <c r="B58" s="14" t="s">
        <v>29</v>
      </c>
      <c r="C58" s="14" t="s">
        <v>310</v>
      </c>
      <c r="D58" s="14" t="s">
        <v>300</v>
      </c>
      <c r="E58" s="14" t="s">
        <v>47</v>
      </c>
      <c r="F58" s="14" t="s">
        <v>16</v>
      </c>
      <c r="G58" s="14"/>
      <c r="H58" s="14"/>
      <c r="I58" s="14"/>
      <c r="J58" s="14" t="s">
        <v>278</v>
      </c>
    </row>
    <row r="59" customFormat="false" ht="45.75" hidden="false" customHeight="true" outlineLevel="0" collapsed="false">
      <c r="A59" s="14" t="s">
        <v>311</v>
      </c>
      <c r="B59" s="14" t="s">
        <v>29</v>
      </c>
      <c r="C59" s="14" t="s">
        <v>312</v>
      </c>
      <c r="D59" s="14" t="s">
        <v>300</v>
      </c>
      <c r="E59" s="14" t="s">
        <v>47</v>
      </c>
      <c r="F59" s="14" t="s">
        <v>16</v>
      </c>
      <c r="G59" s="14"/>
      <c r="H59" s="14"/>
      <c r="I59" s="14"/>
      <c r="J59" s="14" t="s">
        <v>278</v>
      </c>
    </row>
    <row r="60" customFormat="false" ht="23.25" hidden="false" customHeight="true" outlineLevel="0" collapsed="false">
      <c r="A60" s="12" t="s">
        <v>313</v>
      </c>
      <c r="B60" s="12" t="s">
        <v>29</v>
      </c>
      <c r="C60" s="12" t="s">
        <v>314</v>
      </c>
      <c r="D60" s="12" t="s">
        <v>300</v>
      </c>
      <c r="E60" s="12" t="s">
        <v>44</v>
      </c>
      <c r="F60" s="12" t="s">
        <v>16</v>
      </c>
      <c r="G60" s="12"/>
      <c r="H60" s="12"/>
      <c r="I60" s="12"/>
      <c r="J60" s="12" t="s">
        <v>315</v>
      </c>
    </row>
    <row r="61" customFormat="false" ht="45.75" hidden="false" customHeight="true" outlineLevel="0" collapsed="false">
      <c r="A61" s="14" t="s">
        <v>316</v>
      </c>
      <c r="B61" s="14" t="s">
        <v>29</v>
      </c>
      <c r="C61" s="14" t="s">
        <v>317</v>
      </c>
      <c r="D61" s="14" t="s">
        <v>300</v>
      </c>
      <c r="E61" s="14" t="s">
        <v>47</v>
      </c>
      <c r="F61" s="14" t="s">
        <v>16</v>
      </c>
      <c r="G61" s="14"/>
      <c r="H61" s="14"/>
      <c r="I61" s="14"/>
      <c r="J61" s="14" t="s">
        <v>278</v>
      </c>
    </row>
    <row r="62" customFormat="false" ht="45.75" hidden="false" customHeight="true" outlineLevel="0" collapsed="false">
      <c r="A62" s="12" t="s">
        <v>318</v>
      </c>
      <c r="B62" s="12" t="s">
        <v>29</v>
      </c>
      <c r="C62" s="12" t="s">
        <v>319</v>
      </c>
      <c r="D62" s="12" t="s">
        <v>305</v>
      </c>
      <c r="E62" s="12" t="s">
        <v>47</v>
      </c>
      <c r="F62" s="12" t="s">
        <v>16</v>
      </c>
      <c r="G62" s="12"/>
      <c r="H62" s="12"/>
      <c r="I62" s="12"/>
      <c r="J62" s="12" t="s">
        <v>320</v>
      </c>
    </row>
    <row r="63" customFormat="false" ht="45.75" hidden="false" customHeight="true" outlineLevel="0" collapsed="false">
      <c r="A63" s="12" t="s">
        <v>321</v>
      </c>
      <c r="B63" s="12" t="s">
        <v>29</v>
      </c>
      <c r="C63" s="12" t="s">
        <v>322</v>
      </c>
      <c r="D63" s="12" t="s">
        <v>308</v>
      </c>
      <c r="E63" s="12" t="s">
        <v>47</v>
      </c>
      <c r="F63" s="12" t="s">
        <v>16</v>
      </c>
      <c r="G63" s="12"/>
      <c r="H63" s="12"/>
      <c r="I63" s="12"/>
      <c r="J63" s="12" t="s">
        <v>320</v>
      </c>
    </row>
    <row r="64" customFormat="false" ht="45.75" hidden="false" customHeight="true" outlineLevel="0" collapsed="false">
      <c r="A64" s="16" t="s">
        <v>323</v>
      </c>
      <c r="B64" s="16" t="s">
        <v>29</v>
      </c>
      <c r="C64" s="16" t="s">
        <v>324</v>
      </c>
      <c r="D64" s="16" t="s">
        <v>281</v>
      </c>
      <c r="E64" s="16" t="s">
        <v>47</v>
      </c>
      <c r="F64" s="16" t="s">
        <v>16</v>
      </c>
      <c r="G64" s="16"/>
      <c r="H64" s="16"/>
      <c r="I64" s="16"/>
      <c r="J64" s="16" t="s">
        <v>278</v>
      </c>
    </row>
    <row r="65" customFormat="false" ht="45.75" hidden="false" customHeight="true" outlineLevel="0" collapsed="false">
      <c r="A65" s="16" t="s">
        <v>325</v>
      </c>
      <c r="B65" s="16" t="s">
        <v>29</v>
      </c>
      <c r="C65" s="16" t="s">
        <v>324</v>
      </c>
      <c r="D65" s="16" t="s">
        <v>281</v>
      </c>
      <c r="E65" s="16" t="s">
        <v>47</v>
      </c>
      <c r="F65" s="16" t="s">
        <v>16</v>
      </c>
      <c r="G65" s="16"/>
      <c r="H65" s="16"/>
      <c r="I65" s="16"/>
      <c r="J65" s="16" t="s">
        <v>278</v>
      </c>
    </row>
    <row r="66" customFormat="false" ht="45.75" hidden="false" customHeight="true" outlineLevel="0" collapsed="false">
      <c r="A66" s="14" t="s">
        <v>326</v>
      </c>
      <c r="B66" s="14" t="s">
        <v>29</v>
      </c>
      <c r="C66" s="14" t="s">
        <v>327</v>
      </c>
      <c r="D66" s="14" t="s">
        <v>328</v>
      </c>
      <c r="E66" s="14" t="s">
        <v>47</v>
      </c>
      <c r="F66" s="14" t="s">
        <v>16</v>
      </c>
      <c r="G66" s="14"/>
      <c r="H66" s="14"/>
      <c r="I66" s="14"/>
      <c r="J66" s="14" t="s">
        <v>278</v>
      </c>
    </row>
    <row r="67" customFormat="false" ht="45.75" hidden="false" customHeight="true" outlineLevel="0" collapsed="false">
      <c r="A67" s="14" t="s">
        <v>329</v>
      </c>
      <c r="B67" s="14" t="s">
        <v>29</v>
      </c>
      <c r="C67" s="14" t="s">
        <v>330</v>
      </c>
      <c r="D67" s="14" t="s">
        <v>331</v>
      </c>
      <c r="E67" s="14" t="s">
        <v>47</v>
      </c>
      <c r="F67" s="14" t="s">
        <v>16</v>
      </c>
      <c r="G67" s="14"/>
      <c r="H67" s="14"/>
      <c r="I67" s="14"/>
      <c r="J67" s="14" t="s">
        <v>278</v>
      </c>
    </row>
    <row r="68" customFormat="false" ht="45.75" hidden="false" customHeight="true" outlineLevel="0" collapsed="false">
      <c r="A68" s="14" t="s">
        <v>332</v>
      </c>
      <c r="B68" s="14" t="s">
        <v>29</v>
      </c>
      <c r="C68" s="14" t="s">
        <v>333</v>
      </c>
      <c r="D68" s="14" t="s">
        <v>331</v>
      </c>
      <c r="E68" s="14" t="s">
        <v>47</v>
      </c>
      <c r="F68" s="14" t="s">
        <v>16</v>
      </c>
      <c r="G68" s="14"/>
      <c r="H68" s="14"/>
      <c r="I68" s="14"/>
      <c r="J68" s="14" t="s">
        <v>334</v>
      </c>
    </row>
    <row r="69" customFormat="false" ht="15" hidden="false" customHeight="true" outlineLevel="0" collapsed="false">
      <c r="A69" s="1" t="s">
        <v>335</v>
      </c>
      <c r="B69" s="1" t="s">
        <v>23</v>
      </c>
      <c r="C69" s="1" t="s">
        <v>336</v>
      </c>
      <c r="D69" s="1" t="s">
        <v>38</v>
      </c>
      <c r="E69" s="1" t="s">
        <v>44</v>
      </c>
      <c r="F69" s="1" t="s">
        <v>15</v>
      </c>
      <c r="G69" s="1" t="s">
        <v>337</v>
      </c>
      <c r="I69" s="1" t="s">
        <v>338</v>
      </c>
      <c r="J69" s="1" t="s">
        <v>339</v>
      </c>
    </row>
    <row r="70" customFormat="false" ht="15" hidden="false" customHeight="true" outlineLevel="0" collapsed="false">
      <c r="A70" s="1" t="s">
        <v>340</v>
      </c>
      <c r="B70" s="1" t="s">
        <v>23</v>
      </c>
      <c r="C70" s="1" t="s">
        <v>341</v>
      </c>
      <c r="D70" s="1" t="s">
        <v>38</v>
      </c>
      <c r="E70" s="1" t="s">
        <v>44</v>
      </c>
      <c r="F70" s="1" t="s">
        <v>15</v>
      </c>
      <c r="G70" s="1" t="s">
        <v>337</v>
      </c>
      <c r="I70" s="1" t="s">
        <v>342</v>
      </c>
      <c r="J70" s="1" t="s">
        <v>343</v>
      </c>
    </row>
    <row r="71" customFormat="false" ht="15" hidden="false" customHeight="true" outlineLevel="0" collapsed="false">
      <c r="A71" s="1" t="s">
        <v>344</v>
      </c>
      <c r="B71" s="1" t="s">
        <v>19</v>
      </c>
      <c r="C71" s="1" t="s">
        <v>345</v>
      </c>
      <c r="D71" s="1" t="s">
        <v>38</v>
      </c>
      <c r="E71" s="1" t="s">
        <v>44</v>
      </c>
      <c r="F71" s="1" t="s">
        <v>15</v>
      </c>
      <c r="G71" s="1" t="s">
        <v>337</v>
      </c>
      <c r="I71" s="1" t="s">
        <v>346</v>
      </c>
      <c r="J71" s="1" t="s">
        <v>347</v>
      </c>
    </row>
    <row r="72" customFormat="false" ht="15" hidden="false" customHeight="true" outlineLevel="0" collapsed="false">
      <c r="A72" s="1" t="s">
        <v>348</v>
      </c>
      <c r="B72" s="1" t="s">
        <v>19</v>
      </c>
      <c r="C72" s="1" t="s">
        <v>349</v>
      </c>
      <c r="D72" s="1" t="s">
        <v>38</v>
      </c>
      <c r="E72" s="1" t="s">
        <v>44</v>
      </c>
      <c r="F72" s="1" t="s">
        <v>15</v>
      </c>
      <c r="G72" s="1" t="s">
        <v>337</v>
      </c>
      <c r="I72" s="1" t="s">
        <v>350</v>
      </c>
      <c r="J72" s="1" t="s">
        <v>351</v>
      </c>
    </row>
    <row r="73" customFormat="false" ht="15" hidden="false" customHeight="true" outlineLevel="0" collapsed="false">
      <c r="A73" s="1" t="s">
        <v>352</v>
      </c>
      <c r="B73" s="1" t="s">
        <v>19</v>
      </c>
      <c r="C73" s="1" t="s">
        <v>353</v>
      </c>
      <c r="D73" s="1" t="s">
        <v>38</v>
      </c>
      <c r="E73" s="1" t="s">
        <v>44</v>
      </c>
      <c r="F73" s="1" t="s">
        <v>15</v>
      </c>
      <c r="G73" s="1" t="s">
        <v>337</v>
      </c>
      <c r="I73" s="1" t="s">
        <v>354</v>
      </c>
      <c r="J73" s="1" t="s">
        <v>355</v>
      </c>
    </row>
    <row r="74" customFormat="false" ht="15" hidden="false" customHeight="true" outlineLevel="0" collapsed="false">
      <c r="A74" s="1" t="s">
        <v>356</v>
      </c>
      <c r="B74" s="1" t="s">
        <v>19</v>
      </c>
      <c r="C74" s="1" t="s">
        <v>357</v>
      </c>
      <c r="D74" s="1" t="s">
        <v>38</v>
      </c>
      <c r="E74" s="1" t="s">
        <v>44</v>
      </c>
      <c r="F74" s="1" t="s">
        <v>15</v>
      </c>
      <c r="G74" s="1" t="s">
        <v>337</v>
      </c>
      <c r="I74" s="1" t="s">
        <v>358</v>
      </c>
      <c r="J74" s="1" t="s">
        <v>359</v>
      </c>
    </row>
    <row r="75" customFormat="false" ht="15" hidden="false" customHeight="true" outlineLevel="0" collapsed="false">
      <c r="A75" s="1" t="s">
        <v>360</v>
      </c>
      <c r="B75" s="1" t="s">
        <v>21</v>
      </c>
      <c r="C75" s="1" t="s">
        <v>361</v>
      </c>
      <c r="D75" s="1" t="s">
        <v>39</v>
      </c>
      <c r="E75" s="1" t="s">
        <v>44</v>
      </c>
      <c r="F75" s="1" t="s">
        <v>15</v>
      </c>
      <c r="G75" s="1" t="s">
        <v>337</v>
      </c>
      <c r="H75" s="1" t="s">
        <v>97</v>
      </c>
      <c r="I75" s="1" t="s">
        <v>362</v>
      </c>
      <c r="J75" s="1" t="s">
        <v>363</v>
      </c>
    </row>
    <row r="76" customFormat="false" ht="15" hidden="false" customHeight="true" outlineLevel="0" collapsed="false">
      <c r="A76" s="1" t="s">
        <v>364</v>
      </c>
      <c r="B76" s="1" t="s">
        <v>25</v>
      </c>
      <c r="C76" s="1" t="s">
        <v>365</v>
      </c>
      <c r="D76" s="1" t="s">
        <v>39</v>
      </c>
      <c r="E76" s="1" t="s">
        <v>44</v>
      </c>
      <c r="F76" s="1" t="s">
        <v>15</v>
      </c>
      <c r="G76" s="1" t="s">
        <v>337</v>
      </c>
      <c r="H76" s="1" t="s">
        <v>106</v>
      </c>
      <c r="I76" s="1" t="s">
        <v>366</v>
      </c>
      <c r="J76" s="1" t="s">
        <v>367</v>
      </c>
    </row>
    <row r="77" customFormat="false" ht="15" hidden="false" customHeight="true" outlineLevel="0" collapsed="false">
      <c r="A77" s="12" t="s">
        <v>368</v>
      </c>
      <c r="B77" s="12" t="s">
        <v>29</v>
      </c>
      <c r="C77" s="12" t="s">
        <v>369</v>
      </c>
      <c r="D77" s="12" t="s">
        <v>281</v>
      </c>
      <c r="E77" s="12" t="s">
        <v>44</v>
      </c>
      <c r="F77" s="12" t="s">
        <v>16</v>
      </c>
      <c r="G77" s="12"/>
      <c r="H77" s="12"/>
      <c r="I77" s="12"/>
      <c r="J77" s="12" t="s">
        <v>370</v>
      </c>
    </row>
    <row r="78" customFormat="false" ht="15" hidden="false" customHeight="true" outlineLevel="0" collapsed="false">
      <c r="A78" s="12" t="s">
        <v>371</v>
      </c>
      <c r="B78" s="12" t="s">
        <v>29</v>
      </c>
      <c r="C78" s="12" t="s">
        <v>372</v>
      </c>
      <c r="D78" s="12" t="s">
        <v>331</v>
      </c>
      <c r="E78" s="12" t="s">
        <v>44</v>
      </c>
      <c r="F78" s="12" t="s">
        <v>16</v>
      </c>
      <c r="G78" s="12"/>
      <c r="H78" s="12"/>
      <c r="I78" s="12"/>
      <c r="J78" s="12" t="s">
        <v>370</v>
      </c>
    </row>
    <row r="79" customFormat="false" ht="15" hidden="false" customHeight="true" outlineLevel="0" collapsed="false">
      <c r="A79" s="12" t="s">
        <v>373</v>
      </c>
      <c r="B79" s="12" t="s">
        <v>29</v>
      </c>
      <c r="C79" s="12" t="s">
        <v>374</v>
      </c>
      <c r="D79" s="12" t="s">
        <v>331</v>
      </c>
      <c r="E79" s="12" t="s">
        <v>44</v>
      </c>
      <c r="F79" s="12" t="s">
        <v>16</v>
      </c>
      <c r="G79" s="12"/>
      <c r="H79" s="12"/>
      <c r="I79" s="12"/>
      <c r="J79" s="12" t="s">
        <v>370</v>
      </c>
    </row>
    <row r="80" customFormat="false" ht="15" hidden="false" customHeight="true" outlineLevel="0" collapsed="false">
      <c r="A80" s="12" t="s">
        <v>375</v>
      </c>
      <c r="B80" s="12" t="s">
        <v>29</v>
      </c>
      <c r="C80" s="12" t="s">
        <v>376</v>
      </c>
      <c r="D80" s="12" t="s">
        <v>281</v>
      </c>
      <c r="E80" s="12" t="s">
        <v>44</v>
      </c>
      <c r="F80" s="12" t="s">
        <v>16</v>
      </c>
      <c r="G80" s="12"/>
      <c r="H80" s="12"/>
      <c r="I80" s="12"/>
      <c r="J80" s="12" t="s">
        <v>370</v>
      </c>
    </row>
    <row r="81" customFormat="false" ht="15" hidden="false" customHeight="true" outlineLevel="0" collapsed="false">
      <c r="A81" s="12" t="s">
        <v>377</v>
      </c>
      <c r="B81" s="12" t="s">
        <v>29</v>
      </c>
      <c r="C81" s="12" t="s">
        <v>378</v>
      </c>
      <c r="D81" s="12" t="s">
        <v>331</v>
      </c>
      <c r="E81" s="12" t="s">
        <v>44</v>
      </c>
      <c r="F81" s="12" t="s">
        <v>16</v>
      </c>
      <c r="G81" s="12"/>
      <c r="H81" s="12"/>
      <c r="I81" s="12"/>
      <c r="J81" s="12" t="s">
        <v>370</v>
      </c>
    </row>
    <row r="82" customFormat="false" ht="15" hidden="false" customHeight="true" outlineLevel="0" collapsed="false">
      <c r="A82" s="12" t="s">
        <v>379</v>
      </c>
      <c r="B82" s="12" t="s">
        <v>29</v>
      </c>
      <c r="C82" s="12" t="s">
        <v>380</v>
      </c>
      <c r="D82" s="12" t="s">
        <v>331</v>
      </c>
      <c r="E82" s="12" t="s">
        <v>44</v>
      </c>
      <c r="F82" s="12" t="s">
        <v>16</v>
      </c>
      <c r="G82" s="12"/>
      <c r="H82" s="12"/>
      <c r="I82" s="12"/>
      <c r="J82" s="12" t="s">
        <v>370</v>
      </c>
    </row>
    <row r="83" customFormat="false" ht="15" hidden="false" customHeight="true" outlineLevel="0" collapsed="false">
      <c r="A83" s="12" t="s">
        <v>381</v>
      </c>
      <c r="B83" s="12" t="s">
        <v>29</v>
      </c>
      <c r="C83" s="12" t="s">
        <v>382</v>
      </c>
      <c r="D83" s="12" t="s">
        <v>331</v>
      </c>
      <c r="E83" s="12" t="s">
        <v>44</v>
      </c>
      <c r="F83" s="12" t="s">
        <v>16</v>
      </c>
      <c r="G83" s="12"/>
      <c r="H83" s="12"/>
      <c r="I83" s="12"/>
      <c r="J83" s="12" t="s">
        <v>370</v>
      </c>
    </row>
    <row r="84" customFormat="false" ht="15" hidden="false" customHeight="true" outlineLevel="0" collapsed="false">
      <c r="A84" s="12" t="s">
        <v>383</v>
      </c>
      <c r="B84" s="12" t="s">
        <v>29</v>
      </c>
      <c r="C84" s="12" t="s">
        <v>384</v>
      </c>
      <c r="D84" s="12" t="s">
        <v>281</v>
      </c>
      <c r="E84" s="12" t="s">
        <v>44</v>
      </c>
      <c r="F84" s="12" t="s">
        <v>16</v>
      </c>
      <c r="G84" s="12"/>
      <c r="H84" s="12"/>
      <c r="I84" s="12"/>
      <c r="J84" s="12" t="s">
        <v>370</v>
      </c>
    </row>
    <row r="85" customFormat="false" ht="15" hidden="false" customHeight="true" outlineLevel="0" collapsed="false">
      <c r="A85" s="12" t="s">
        <v>385</v>
      </c>
      <c r="B85" s="12" t="s">
        <v>29</v>
      </c>
      <c r="C85" s="12" t="s">
        <v>386</v>
      </c>
      <c r="D85" s="12" t="s">
        <v>281</v>
      </c>
      <c r="E85" s="12" t="s">
        <v>44</v>
      </c>
      <c r="F85" s="12" t="s">
        <v>16</v>
      </c>
      <c r="G85" s="12"/>
      <c r="H85" s="12"/>
      <c r="I85" s="12"/>
      <c r="J85" s="12" t="s">
        <v>370</v>
      </c>
    </row>
    <row r="86" customFormat="false" ht="15" hidden="false" customHeight="true" outlineLevel="0" collapsed="false">
      <c r="A86" s="12" t="s">
        <v>387</v>
      </c>
      <c r="B86" s="12" t="s">
        <v>29</v>
      </c>
      <c r="C86" s="12" t="s">
        <v>388</v>
      </c>
      <c r="D86" s="12" t="s">
        <v>281</v>
      </c>
      <c r="E86" s="12" t="s">
        <v>44</v>
      </c>
      <c r="F86" s="12" t="s">
        <v>16</v>
      </c>
      <c r="G86" s="12"/>
      <c r="H86" s="12"/>
      <c r="I86" s="12"/>
      <c r="J86" s="12" t="s">
        <v>370</v>
      </c>
    </row>
    <row r="87" customFormat="false" ht="15" hidden="false" customHeight="true" outlineLevel="0" collapsed="false">
      <c r="A87" s="12" t="s">
        <v>389</v>
      </c>
      <c r="B87" s="12" t="s">
        <v>29</v>
      </c>
      <c r="C87" s="12" t="s">
        <v>390</v>
      </c>
      <c r="D87" s="12" t="s">
        <v>281</v>
      </c>
      <c r="E87" s="12" t="s">
        <v>44</v>
      </c>
      <c r="F87" s="12" t="s">
        <v>16</v>
      </c>
      <c r="G87" s="12"/>
      <c r="H87" s="12"/>
      <c r="I87" s="12"/>
      <c r="J87" s="12" t="s">
        <v>370</v>
      </c>
    </row>
    <row r="88" customFormat="false" ht="15" hidden="false" customHeight="true" outlineLevel="0" collapsed="false">
      <c r="A88" s="12" t="s">
        <v>391</v>
      </c>
      <c r="B88" s="12" t="s">
        <v>29</v>
      </c>
      <c r="C88" s="12" t="s">
        <v>392</v>
      </c>
      <c r="D88" s="12" t="s">
        <v>331</v>
      </c>
      <c r="E88" s="12" t="s">
        <v>44</v>
      </c>
      <c r="F88" s="12" t="s">
        <v>16</v>
      </c>
      <c r="G88" s="12"/>
      <c r="H88" s="12"/>
      <c r="I88" s="12"/>
      <c r="J88" s="12" t="s">
        <v>370</v>
      </c>
    </row>
    <row r="89" customFormat="false" ht="15" hidden="false" customHeight="true" outlineLevel="0" collapsed="false">
      <c r="A89" s="1" t="s">
        <v>393</v>
      </c>
      <c r="B89" s="1" t="s">
        <v>20</v>
      </c>
      <c r="C89" s="1" t="s">
        <v>394</v>
      </c>
      <c r="D89" s="1" t="s">
        <v>38</v>
      </c>
      <c r="E89" s="1" t="s">
        <v>44</v>
      </c>
      <c r="F89" s="1" t="s">
        <v>16</v>
      </c>
      <c r="G89" s="17" t="n">
        <v>46130</v>
      </c>
      <c r="H89" s="1" t="s">
        <v>99</v>
      </c>
      <c r="I89" s="1" t="s">
        <v>395</v>
      </c>
      <c r="J89" s="1" t="s">
        <v>396</v>
      </c>
    </row>
    <row r="90" customFormat="false" ht="15" hidden="false" customHeight="true" outlineLevel="0" collapsed="false">
      <c r="A90" s="1" t="s">
        <v>397</v>
      </c>
      <c r="B90" s="1" t="s">
        <v>20</v>
      </c>
      <c r="C90" s="1" t="s">
        <v>398</v>
      </c>
      <c r="D90" s="1" t="s">
        <v>38</v>
      </c>
      <c r="E90" s="1" t="s">
        <v>44</v>
      </c>
      <c r="F90" s="1" t="s">
        <v>16</v>
      </c>
      <c r="G90" s="17" t="n">
        <v>46129</v>
      </c>
      <c r="H90" s="1" t="s">
        <v>99</v>
      </c>
      <c r="I90" s="1" t="s">
        <v>399</v>
      </c>
      <c r="J90" s="1" t="s">
        <v>400</v>
      </c>
    </row>
    <row r="91" customFormat="false" ht="15" hidden="false" customHeight="true" outlineLevel="0" collapsed="false">
      <c r="A91" s="1" t="s">
        <v>401</v>
      </c>
      <c r="B91" s="1" t="s">
        <v>20</v>
      </c>
      <c r="C91" s="1" t="s">
        <v>402</v>
      </c>
      <c r="D91" s="1" t="s">
        <v>38</v>
      </c>
      <c r="E91" s="1" t="s">
        <v>44</v>
      </c>
      <c r="F91" s="1" t="s">
        <v>16</v>
      </c>
      <c r="G91" s="17" t="n">
        <v>46129</v>
      </c>
      <c r="H91" s="1" t="s">
        <v>397</v>
      </c>
      <c r="I91" s="1" t="s">
        <v>403</v>
      </c>
      <c r="J91" s="1" t="s">
        <v>404</v>
      </c>
    </row>
    <row r="92" customFormat="false" ht="15" hidden="false" customHeight="true" outlineLevel="0" collapsed="false">
      <c r="A92" s="1" t="s">
        <v>405</v>
      </c>
      <c r="B92" s="1" t="s">
        <v>27</v>
      </c>
      <c r="C92" s="1" t="s">
        <v>406</v>
      </c>
      <c r="D92" s="1" t="s">
        <v>38</v>
      </c>
      <c r="E92" s="1" t="s">
        <v>44</v>
      </c>
      <c r="F92" s="1" t="s">
        <v>16</v>
      </c>
      <c r="G92" s="17" t="n">
        <v>46129</v>
      </c>
      <c r="H92" s="1" t="s">
        <v>99</v>
      </c>
      <c r="I92" s="1" t="s">
        <v>407</v>
      </c>
      <c r="J92" s="1" t="s">
        <v>408</v>
      </c>
    </row>
    <row r="93" customFormat="false" ht="15" hidden="false" customHeight="true" outlineLevel="0" collapsed="false">
      <c r="A93" s="1" t="s">
        <v>409</v>
      </c>
      <c r="B93" s="1" t="s">
        <v>20</v>
      </c>
      <c r="C93" s="1" t="s">
        <v>410</v>
      </c>
      <c r="D93" s="1" t="s">
        <v>38</v>
      </c>
      <c r="E93" s="1" t="s">
        <v>44</v>
      </c>
      <c r="F93" s="1" t="s">
        <v>15</v>
      </c>
      <c r="G93" s="17" t="n">
        <v>46130</v>
      </c>
      <c r="H93" s="1" t="s">
        <v>411</v>
      </c>
      <c r="I93" s="1" t="s">
        <v>412</v>
      </c>
      <c r="J93" s="1" t="s">
        <v>413</v>
      </c>
    </row>
    <row r="94" customFormat="false" ht="15" hidden="false" customHeight="true" outlineLevel="0" collapsed="false">
      <c r="A94" s="1" t="s">
        <v>414</v>
      </c>
      <c r="B94" s="1" t="s">
        <v>23</v>
      </c>
      <c r="C94" s="1" t="s">
        <v>415</v>
      </c>
      <c r="D94" s="1" t="s">
        <v>38</v>
      </c>
      <c r="E94" s="1" t="s">
        <v>44</v>
      </c>
      <c r="F94" s="1" t="s">
        <v>16</v>
      </c>
      <c r="G94" s="17" t="n">
        <v>46129</v>
      </c>
      <c r="H94" s="1" t="s">
        <v>393</v>
      </c>
      <c r="I94" s="1" t="s">
        <v>416</v>
      </c>
      <c r="J94" s="1" t="s">
        <v>417</v>
      </c>
    </row>
    <row r="95" customFormat="false" ht="15" hidden="false" customHeight="true" outlineLevel="0" collapsed="false">
      <c r="A95" s="1" t="s">
        <v>418</v>
      </c>
      <c r="B95" s="1" t="s">
        <v>23</v>
      </c>
      <c r="C95" s="1" t="s">
        <v>419</v>
      </c>
      <c r="D95" s="1" t="s">
        <v>38</v>
      </c>
      <c r="E95" s="1" t="s">
        <v>44</v>
      </c>
      <c r="F95" s="1" t="s">
        <v>16</v>
      </c>
      <c r="G95" s="17" t="n">
        <v>46129</v>
      </c>
      <c r="H95" s="1" t="s">
        <v>97</v>
      </c>
      <c r="I95" s="1" t="s">
        <v>420</v>
      </c>
      <c r="J95" s="1" t="s">
        <v>421</v>
      </c>
    </row>
    <row r="96" customFormat="false" ht="15" hidden="false" customHeight="true" outlineLevel="0" collapsed="false">
      <c r="A96" s="1" t="s">
        <v>422</v>
      </c>
      <c r="B96" s="1" t="s">
        <v>26</v>
      </c>
      <c r="C96" s="1" t="s">
        <v>423</v>
      </c>
      <c r="D96" s="1" t="s">
        <v>38</v>
      </c>
      <c r="E96" s="1" t="s">
        <v>44</v>
      </c>
      <c r="F96" s="1" t="s">
        <v>15</v>
      </c>
      <c r="G96" s="17" t="n">
        <v>46129</v>
      </c>
      <c r="H96" s="1" t="s">
        <v>424</v>
      </c>
      <c r="I96" s="1" t="s">
        <v>425</v>
      </c>
      <c r="J96" s="1" t="s">
        <v>426</v>
      </c>
    </row>
    <row r="97" customFormat="false" ht="15" hidden="false" customHeight="true" outlineLevel="0" collapsed="false">
      <c r="A97" s="1" t="s">
        <v>427</v>
      </c>
      <c r="B97" s="1" t="s">
        <v>23</v>
      </c>
      <c r="C97" s="1" t="s">
        <v>428</v>
      </c>
      <c r="D97" s="1" t="s">
        <v>38</v>
      </c>
      <c r="E97" s="1" t="s">
        <v>44</v>
      </c>
      <c r="F97" s="1" t="s">
        <v>17</v>
      </c>
      <c r="G97" s="17" t="n">
        <v>46129</v>
      </c>
      <c r="H97" s="1" t="s">
        <v>429</v>
      </c>
      <c r="I97" s="1" t="s">
        <v>430</v>
      </c>
      <c r="J97" s="1" t="s">
        <v>431</v>
      </c>
    </row>
    <row r="98" customFormat="false" ht="15" hidden="false" customHeight="true" outlineLevel="0" collapsed="false">
      <c r="A98" s="1" t="s">
        <v>432</v>
      </c>
      <c r="B98" s="1" t="s">
        <v>31</v>
      </c>
      <c r="C98" s="1" t="s">
        <v>433</v>
      </c>
      <c r="D98" s="1" t="s">
        <v>38</v>
      </c>
      <c r="E98" s="1" t="s">
        <v>44</v>
      </c>
      <c r="F98" s="1" t="s">
        <v>15</v>
      </c>
      <c r="G98" s="17" t="n">
        <v>46129</v>
      </c>
      <c r="H98" s="1" t="s">
        <v>99</v>
      </c>
      <c r="I98" s="1" t="s">
        <v>434</v>
      </c>
      <c r="J98" s="1" t="s">
        <v>435</v>
      </c>
    </row>
    <row r="99" customFormat="false" ht="15" hidden="false" customHeight="true" outlineLevel="0" collapsed="false">
      <c r="A99" s="1" t="s">
        <v>436</v>
      </c>
      <c r="B99" s="1" t="s">
        <v>19</v>
      </c>
      <c r="C99" s="1" t="s">
        <v>437</v>
      </c>
      <c r="D99" s="1" t="s">
        <v>38</v>
      </c>
      <c r="E99" s="1" t="s">
        <v>44</v>
      </c>
      <c r="F99" s="1" t="s">
        <v>15</v>
      </c>
      <c r="G99" s="17" t="n">
        <v>46129</v>
      </c>
      <c r="H99" s="1" t="s">
        <v>438</v>
      </c>
      <c r="I99" s="1" t="s">
        <v>439</v>
      </c>
      <c r="J99" s="1" t="s">
        <v>440</v>
      </c>
    </row>
    <row r="100" customFormat="false" ht="15" hidden="false" customHeight="true" outlineLevel="0" collapsed="false">
      <c r="A100" s="1" t="s">
        <v>441</v>
      </c>
      <c r="B100" s="1" t="s">
        <v>21</v>
      </c>
      <c r="C100" s="1" t="s">
        <v>442</v>
      </c>
      <c r="D100" s="1" t="s">
        <v>38</v>
      </c>
      <c r="E100" s="1" t="s">
        <v>44</v>
      </c>
      <c r="F100" s="1" t="s">
        <v>15</v>
      </c>
      <c r="G100" s="17" t="n">
        <v>46129</v>
      </c>
      <c r="H100" s="1" t="s">
        <v>97</v>
      </c>
      <c r="I100" s="1" t="s">
        <v>443</v>
      </c>
      <c r="J100" s="1" t="s">
        <v>444</v>
      </c>
    </row>
    <row r="101" customFormat="false" ht="15" hidden="false" customHeight="true" outlineLevel="0" collapsed="false">
      <c r="A101" s="1" t="s">
        <v>445</v>
      </c>
      <c r="B101" s="1" t="s">
        <v>19</v>
      </c>
      <c r="C101" s="1" t="s">
        <v>446</v>
      </c>
      <c r="D101" s="1" t="s">
        <v>38</v>
      </c>
      <c r="E101" s="1" t="s">
        <v>44</v>
      </c>
      <c r="F101" s="1" t="s">
        <v>15</v>
      </c>
      <c r="G101" s="17" t="n">
        <v>46129</v>
      </c>
      <c r="H101" s="1" t="s">
        <v>102</v>
      </c>
      <c r="I101" s="1" t="s">
        <v>447</v>
      </c>
      <c r="J101" s="1" t="s">
        <v>448</v>
      </c>
    </row>
    <row r="102" customFormat="false" ht="15" hidden="false" customHeight="true" outlineLevel="0" collapsed="false">
      <c r="A102" s="1" t="s">
        <v>449</v>
      </c>
      <c r="B102" s="1" t="s">
        <v>19</v>
      </c>
      <c r="C102" s="1" t="s">
        <v>450</v>
      </c>
      <c r="D102" s="1" t="s">
        <v>38</v>
      </c>
      <c r="E102" s="1" t="s">
        <v>44</v>
      </c>
      <c r="F102" s="1" t="s">
        <v>15</v>
      </c>
      <c r="G102" s="17" t="n">
        <v>46129</v>
      </c>
      <c r="H102" s="1" t="s">
        <v>451</v>
      </c>
      <c r="I102" s="1" t="s">
        <v>452</v>
      </c>
      <c r="J102" s="1" t="s">
        <v>453</v>
      </c>
    </row>
    <row r="103" customFormat="false" ht="15" hidden="false" customHeight="true" outlineLevel="0" collapsed="false">
      <c r="A103" s="1" t="s">
        <v>454</v>
      </c>
      <c r="B103" s="1" t="s">
        <v>19</v>
      </c>
      <c r="C103" s="1" t="s">
        <v>455</v>
      </c>
      <c r="D103" s="1" t="s">
        <v>38</v>
      </c>
      <c r="E103" s="1" t="s">
        <v>45</v>
      </c>
      <c r="F103" s="1" t="s">
        <v>15</v>
      </c>
      <c r="G103" s="17" t="n">
        <v>46136</v>
      </c>
      <c r="H103" s="1" t="s">
        <v>449</v>
      </c>
      <c r="I103" s="1" t="s">
        <v>456</v>
      </c>
      <c r="J103" s="1" t="s">
        <v>457</v>
      </c>
    </row>
    <row r="104" customFormat="false" ht="15" hidden="false" customHeight="true" outlineLevel="0" collapsed="false">
      <c r="A104" s="1" t="s">
        <v>458</v>
      </c>
      <c r="B104" s="1" t="s">
        <v>28</v>
      </c>
      <c r="C104" s="1" t="s">
        <v>459</v>
      </c>
      <c r="D104" s="1" t="s">
        <v>38</v>
      </c>
      <c r="E104" s="1" t="s">
        <v>44</v>
      </c>
      <c r="F104" s="1" t="s">
        <v>16</v>
      </c>
      <c r="G104" s="17" t="n">
        <v>46129</v>
      </c>
      <c r="H104" s="1" t="s">
        <v>460</v>
      </c>
      <c r="I104" s="1" t="s">
        <v>461</v>
      </c>
      <c r="J104" s="1" t="s">
        <v>462</v>
      </c>
    </row>
    <row r="105" customFormat="false" ht="15" hidden="false" customHeight="true" outlineLevel="0" collapsed="false">
      <c r="A105" s="1" t="s">
        <v>463</v>
      </c>
      <c r="B105" s="1" t="s">
        <v>25</v>
      </c>
      <c r="C105" s="1" t="s">
        <v>464</v>
      </c>
      <c r="D105" s="1" t="s">
        <v>39</v>
      </c>
      <c r="E105" s="1" t="s">
        <v>44</v>
      </c>
      <c r="F105" s="1" t="s">
        <v>15</v>
      </c>
      <c r="G105" s="17" t="n">
        <v>46129</v>
      </c>
      <c r="H105" s="1" t="s">
        <v>115</v>
      </c>
      <c r="I105" s="1" t="s">
        <v>465</v>
      </c>
      <c r="J105" s="1" t="s">
        <v>466</v>
      </c>
    </row>
    <row r="106" customFormat="false" ht="15" hidden="false" customHeight="true" outlineLevel="0" collapsed="false">
      <c r="A106" s="1" t="s">
        <v>467</v>
      </c>
      <c r="B106" s="1" t="s">
        <v>26</v>
      </c>
      <c r="C106" s="1" t="s">
        <v>468</v>
      </c>
      <c r="D106" s="1" t="s">
        <v>38</v>
      </c>
      <c r="E106" s="1" t="s">
        <v>44</v>
      </c>
      <c r="F106" s="1" t="s">
        <v>15</v>
      </c>
      <c r="G106" s="17" t="n">
        <v>46129</v>
      </c>
      <c r="H106" s="1" t="s">
        <v>99</v>
      </c>
      <c r="I106" s="1" t="s">
        <v>469</v>
      </c>
      <c r="J106" s="1" t="s">
        <v>470</v>
      </c>
    </row>
    <row r="107" customFormat="false" ht="15" hidden="false" customHeight="true" outlineLevel="0" collapsed="false">
      <c r="A107" s="1" t="s">
        <v>471</v>
      </c>
      <c r="B107" s="1" t="s">
        <v>26</v>
      </c>
      <c r="C107" s="1" t="s">
        <v>472</v>
      </c>
      <c r="D107" s="1" t="s">
        <v>39</v>
      </c>
      <c r="E107" s="1" t="s">
        <v>46</v>
      </c>
      <c r="F107" s="1" t="s">
        <v>15</v>
      </c>
      <c r="G107" s="17" t="n">
        <v>46142</v>
      </c>
      <c r="H107" s="1" t="s">
        <v>441</v>
      </c>
      <c r="I107" s="1" t="s">
        <v>473</v>
      </c>
      <c r="J107" s="1" t="s">
        <v>474</v>
      </c>
    </row>
    <row r="108" customFormat="false" ht="15" hidden="false" customHeight="true" outlineLevel="0" collapsed="false">
      <c r="A108" s="1" t="s">
        <v>475</v>
      </c>
      <c r="B108" s="1" t="s">
        <v>25</v>
      </c>
      <c r="C108" s="1" t="s">
        <v>476</v>
      </c>
      <c r="D108" s="1" t="s">
        <v>38</v>
      </c>
      <c r="E108" s="1" t="s">
        <v>46</v>
      </c>
      <c r="F108" s="1" t="s">
        <v>16</v>
      </c>
      <c r="G108" s="17" t="n">
        <v>46148</v>
      </c>
      <c r="H108" s="1" t="s">
        <v>97</v>
      </c>
      <c r="I108" s="1" t="s">
        <v>477</v>
      </c>
      <c r="J108" s="1" t="s">
        <v>478</v>
      </c>
    </row>
    <row r="109" customFormat="false" ht="15" hidden="false" customHeight="true" outlineLevel="0" collapsed="false">
      <c r="A109" s="1" t="s">
        <v>479</v>
      </c>
      <c r="B109" s="1" t="s">
        <v>33</v>
      </c>
      <c r="C109" s="1" t="s">
        <v>480</v>
      </c>
      <c r="D109" s="1" t="s">
        <v>38</v>
      </c>
      <c r="E109" s="1" t="s">
        <v>46</v>
      </c>
      <c r="F109" s="1" t="s">
        <v>15</v>
      </c>
      <c r="G109" s="17" t="n">
        <v>46150</v>
      </c>
      <c r="H109" s="1" t="s">
        <v>481</v>
      </c>
      <c r="I109" s="1" t="s">
        <v>482</v>
      </c>
      <c r="J109" s="1" t="s">
        <v>483</v>
      </c>
    </row>
    <row r="110" customFormat="false" ht="15" hidden="false" customHeight="true" outlineLevel="0" collapsed="false">
      <c r="A110" s="1" t="s">
        <v>484</v>
      </c>
      <c r="B110" s="1" t="s">
        <v>26</v>
      </c>
      <c r="C110" s="1" t="s">
        <v>485</v>
      </c>
      <c r="D110" s="1" t="s">
        <v>38</v>
      </c>
      <c r="E110" s="1" t="s">
        <v>45</v>
      </c>
      <c r="F110" s="1" t="s">
        <v>15</v>
      </c>
      <c r="G110" s="17" t="n">
        <v>46137</v>
      </c>
      <c r="H110" s="1" t="s">
        <v>486</v>
      </c>
      <c r="I110" s="1" t="s">
        <v>487</v>
      </c>
      <c r="J110" s="1" t="s">
        <v>488</v>
      </c>
    </row>
    <row r="111" customFormat="false" ht="15" hidden="false" customHeight="true" outlineLevel="0" collapsed="false">
      <c r="A111" s="1" t="s">
        <v>489</v>
      </c>
      <c r="B111" s="1" t="s">
        <v>25</v>
      </c>
      <c r="C111" s="1" t="s">
        <v>490</v>
      </c>
      <c r="D111" s="1" t="s">
        <v>39</v>
      </c>
      <c r="E111" s="1" t="s">
        <v>46</v>
      </c>
      <c r="F111" s="1" t="s">
        <v>15</v>
      </c>
      <c r="G111" s="17" t="n">
        <v>46134</v>
      </c>
      <c r="H111" s="1" t="s">
        <v>99</v>
      </c>
      <c r="I111" s="1" t="s">
        <v>491</v>
      </c>
      <c r="J111" s="1" t="s">
        <v>492</v>
      </c>
    </row>
    <row r="112" customFormat="false" ht="15" hidden="false" customHeight="true" outlineLevel="0" collapsed="false">
      <c r="A112" s="1" t="s">
        <v>493</v>
      </c>
      <c r="B112" s="1" t="s">
        <v>25</v>
      </c>
      <c r="C112" s="1" t="s">
        <v>494</v>
      </c>
      <c r="D112" s="1" t="s">
        <v>39</v>
      </c>
      <c r="E112" s="1" t="s">
        <v>46</v>
      </c>
      <c r="F112" s="1" t="s">
        <v>15</v>
      </c>
      <c r="G112" s="17" t="n">
        <v>46134</v>
      </c>
      <c r="H112" s="1" t="s">
        <v>463</v>
      </c>
      <c r="I112" s="1" t="s">
        <v>495</v>
      </c>
      <c r="J112" s="1" t="s">
        <v>496</v>
      </c>
    </row>
    <row r="113" customFormat="false" ht="15" hidden="false" customHeight="true" outlineLevel="0" collapsed="false">
      <c r="A113" s="1" t="s">
        <v>497</v>
      </c>
      <c r="B113" s="1" t="s">
        <v>18</v>
      </c>
      <c r="C113" s="1" t="s">
        <v>498</v>
      </c>
      <c r="D113" s="1" t="s">
        <v>39</v>
      </c>
      <c r="E113" s="1" t="s">
        <v>45</v>
      </c>
      <c r="F113" s="1" t="s">
        <v>16</v>
      </c>
      <c r="G113" s="17" t="n">
        <v>46137</v>
      </c>
      <c r="H113" s="1" t="s">
        <v>99</v>
      </c>
      <c r="I113" s="1" t="s">
        <v>499</v>
      </c>
      <c r="J113" s="1" t="s">
        <v>500</v>
      </c>
    </row>
    <row r="114" customFormat="false" ht="15" hidden="false" customHeight="true" outlineLevel="0" collapsed="false">
      <c r="A114" s="1" t="s">
        <v>501</v>
      </c>
      <c r="B114" s="1" t="s">
        <v>28</v>
      </c>
      <c r="C114" s="1" t="s">
        <v>502</v>
      </c>
      <c r="D114" s="1" t="s">
        <v>38</v>
      </c>
      <c r="E114" s="1" t="s">
        <v>46</v>
      </c>
      <c r="F114" s="1" t="s">
        <v>16</v>
      </c>
      <c r="G114" s="17" t="n">
        <v>46162</v>
      </c>
      <c r="H114" s="1" t="s">
        <v>458</v>
      </c>
      <c r="I114" s="1" t="s">
        <v>503</v>
      </c>
      <c r="J114" s="1" t="s">
        <v>504</v>
      </c>
    </row>
    <row r="115" customFormat="false" ht="15" hidden="false" customHeight="true" outlineLevel="0" collapsed="false">
      <c r="A115" s="1" t="s">
        <v>505</v>
      </c>
      <c r="B115" s="1" t="s">
        <v>30</v>
      </c>
      <c r="C115" s="1" t="s">
        <v>506</v>
      </c>
      <c r="D115" s="1" t="s">
        <v>38</v>
      </c>
      <c r="E115" s="1" t="s">
        <v>46</v>
      </c>
      <c r="F115" s="1" t="s">
        <v>15</v>
      </c>
      <c r="G115" s="17" t="n">
        <v>46150</v>
      </c>
      <c r="H115" s="1" t="s">
        <v>507</v>
      </c>
      <c r="I115" s="1" t="s">
        <v>508</v>
      </c>
      <c r="J115" s="1" t="s">
        <v>509</v>
      </c>
    </row>
    <row r="116" customFormat="false" ht="15" hidden="false" customHeight="true" outlineLevel="0" collapsed="false">
      <c r="A116" s="1" t="s">
        <v>510</v>
      </c>
      <c r="B116" s="1" t="s">
        <v>26</v>
      </c>
      <c r="C116" s="1" t="s">
        <v>511</v>
      </c>
      <c r="D116" s="1" t="s">
        <v>39</v>
      </c>
      <c r="E116" s="1" t="s">
        <v>46</v>
      </c>
      <c r="F116" s="1" t="s">
        <v>15</v>
      </c>
      <c r="G116" s="17" t="n">
        <v>46137</v>
      </c>
      <c r="H116" s="1" t="s">
        <v>99</v>
      </c>
      <c r="I116" s="1" t="s">
        <v>512</v>
      </c>
      <c r="J116" s="1" t="s">
        <v>513</v>
      </c>
    </row>
    <row r="117" customFormat="false" ht="15" hidden="false" customHeight="true" outlineLevel="0" collapsed="false">
      <c r="A117" s="1" t="s">
        <v>514</v>
      </c>
      <c r="B117" s="1" t="s">
        <v>19</v>
      </c>
      <c r="C117" s="1" t="s">
        <v>515</v>
      </c>
      <c r="D117" s="1" t="s">
        <v>38</v>
      </c>
      <c r="E117" s="1" t="s">
        <v>46</v>
      </c>
      <c r="F117" s="1" t="s">
        <v>16</v>
      </c>
      <c r="G117" s="17" t="n">
        <v>46142</v>
      </c>
      <c r="H117" s="1" t="s">
        <v>449</v>
      </c>
      <c r="I117" s="1" t="s">
        <v>516</v>
      </c>
      <c r="J117" s="1" t="s">
        <v>517</v>
      </c>
    </row>
    <row r="118" customFormat="false" ht="15" hidden="false" customHeight="true" outlineLevel="0" collapsed="false">
      <c r="A118" s="1" t="s">
        <v>518</v>
      </c>
      <c r="B118" s="1" t="s">
        <v>32</v>
      </c>
      <c r="C118" s="1" t="s">
        <v>519</v>
      </c>
      <c r="D118" s="1" t="s">
        <v>38</v>
      </c>
      <c r="E118" s="1" t="s">
        <v>46</v>
      </c>
      <c r="F118" s="1" t="s">
        <v>17</v>
      </c>
      <c r="G118" s="17" t="n">
        <v>46188</v>
      </c>
      <c r="H118" s="1" t="s">
        <v>505</v>
      </c>
      <c r="I118" s="1" t="s">
        <v>520</v>
      </c>
      <c r="J118" s="1" t="s">
        <v>521</v>
      </c>
    </row>
    <row r="119" customFormat="false" ht="15" hidden="false" customHeight="true" outlineLevel="0" collapsed="false">
      <c r="A119" s="1" t="s">
        <v>522</v>
      </c>
      <c r="B119" s="1" t="s">
        <v>32</v>
      </c>
      <c r="C119" s="1" t="s">
        <v>523</v>
      </c>
      <c r="D119" s="1" t="s">
        <v>38</v>
      </c>
      <c r="E119" s="1" t="s">
        <v>46</v>
      </c>
      <c r="F119" s="1" t="s">
        <v>17</v>
      </c>
      <c r="G119" s="17" t="n">
        <v>46193</v>
      </c>
      <c r="H119" s="1" t="s">
        <v>505</v>
      </c>
      <c r="I119" s="1" t="s">
        <v>524</v>
      </c>
      <c r="J119" s="1" t="s">
        <v>525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55"/>
    <col collapsed="false" customWidth="true" hidden="false" outlineLevel="0" max="4" min="4" style="1" width="25"/>
    <col collapsed="false" customWidth="true" hidden="false" outlineLevel="0" max="6" min="5" style="1" width="45"/>
    <col collapsed="false" customWidth="true" hidden="false" outlineLevel="0" max="7" min="7" style="1" width="12"/>
  </cols>
  <sheetData>
    <row r="1" customFormat="false" ht="15" hidden="false" customHeight="true" outlineLevel="0" collapsed="false">
      <c r="A1" s="5" t="s">
        <v>526</v>
      </c>
      <c r="B1" s="5" t="s">
        <v>527</v>
      </c>
      <c r="C1" s="5" t="s">
        <v>528</v>
      </c>
      <c r="D1" s="5" t="s">
        <v>529</v>
      </c>
      <c r="E1" s="5" t="s">
        <v>530</v>
      </c>
      <c r="F1" s="5" t="s">
        <v>531</v>
      </c>
      <c r="G1" s="5" t="s">
        <v>532</v>
      </c>
    </row>
    <row r="2" customFormat="false" ht="15" hidden="false" customHeight="true" outlineLevel="0" collapsed="false">
      <c r="A2" s="6" t="s">
        <v>533</v>
      </c>
      <c r="B2" s="6" t="s">
        <v>534</v>
      </c>
      <c r="C2" s="6" t="s">
        <v>535</v>
      </c>
      <c r="D2" s="6" t="s">
        <v>536</v>
      </c>
      <c r="E2" s="6" t="s">
        <v>537</v>
      </c>
      <c r="F2" s="6" t="s">
        <v>538</v>
      </c>
      <c r="G2" s="6" t="s">
        <v>539</v>
      </c>
    </row>
    <row r="3" customFormat="false" ht="15" hidden="false" customHeight="true" outlineLevel="0" collapsed="false">
      <c r="A3" s="6" t="s">
        <v>533</v>
      </c>
      <c r="B3" s="6" t="s">
        <v>540</v>
      </c>
      <c r="C3" s="6" t="s">
        <v>541</v>
      </c>
      <c r="D3" s="6" t="s">
        <v>39</v>
      </c>
      <c r="E3" s="6" t="s">
        <v>542</v>
      </c>
      <c r="F3" s="6" t="s">
        <v>543</v>
      </c>
      <c r="G3" s="6" t="s">
        <v>544</v>
      </c>
    </row>
    <row r="4" customFormat="false" ht="27.75" hidden="false" customHeight="true" outlineLevel="0" collapsed="false">
      <c r="A4" s="6" t="s">
        <v>545</v>
      </c>
      <c r="B4" s="6" t="s">
        <v>546</v>
      </c>
      <c r="C4" s="6" t="s">
        <v>547</v>
      </c>
      <c r="D4" s="6" t="s">
        <v>548</v>
      </c>
      <c r="E4" s="6" t="s">
        <v>549</v>
      </c>
      <c r="F4" s="6" t="s">
        <v>550</v>
      </c>
      <c r="G4" s="6" t="s">
        <v>551</v>
      </c>
    </row>
    <row r="5" customFormat="false" ht="27.75" hidden="false" customHeight="true" outlineLevel="0" collapsed="false">
      <c r="A5" s="6" t="s">
        <v>552</v>
      </c>
      <c r="B5" s="6" t="s">
        <v>553</v>
      </c>
      <c r="C5" s="6" t="s">
        <v>554</v>
      </c>
      <c r="D5" s="6" t="s">
        <v>555</v>
      </c>
      <c r="E5" s="6" t="s">
        <v>556</v>
      </c>
      <c r="F5" s="6" t="s">
        <v>557</v>
      </c>
      <c r="G5" s="6" t="s">
        <v>558</v>
      </c>
    </row>
    <row r="6" customFormat="false" ht="15" hidden="false" customHeight="true" outlineLevel="0" collapsed="false">
      <c r="A6" s="6" t="s">
        <v>559</v>
      </c>
      <c r="B6" s="6" t="s">
        <v>560</v>
      </c>
      <c r="C6" s="6" t="s">
        <v>561</v>
      </c>
      <c r="D6" s="6" t="s">
        <v>548</v>
      </c>
      <c r="E6" s="6" t="s">
        <v>562</v>
      </c>
      <c r="F6" s="6" t="s">
        <v>563</v>
      </c>
      <c r="G6" s="6" t="s">
        <v>564</v>
      </c>
    </row>
    <row r="7" customFormat="false" ht="15" hidden="false" customHeight="true" outlineLevel="0" collapsed="false">
      <c r="A7" s="6" t="s">
        <v>559</v>
      </c>
      <c r="B7" s="6" t="s">
        <v>565</v>
      </c>
      <c r="C7" s="6" t="s">
        <v>566</v>
      </c>
      <c r="D7" s="6" t="s">
        <v>567</v>
      </c>
      <c r="E7" s="6" t="s">
        <v>568</v>
      </c>
      <c r="F7" s="6" t="s">
        <v>569</v>
      </c>
      <c r="G7" s="6" t="s">
        <v>570</v>
      </c>
    </row>
    <row r="8" customFormat="false" ht="15" hidden="false" customHeight="true" outlineLevel="0" collapsed="false">
      <c r="A8" s="6" t="s">
        <v>571</v>
      </c>
      <c r="B8" s="6" t="s">
        <v>572</v>
      </c>
      <c r="C8" s="6" t="s">
        <v>573</v>
      </c>
      <c r="D8" s="6" t="s">
        <v>39</v>
      </c>
      <c r="E8" s="6" t="s">
        <v>574</v>
      </c>
      <c r="F8" s="6" t="s">
        <v>575</v>
      </c>
      <c r="G8" s="6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0"/>
  </cols>
  <sheetData>
    <row r="1" customFormat="false" ht="18" hidden="false" customHeight="true" outlineLevel="0" collapsed="false">
      <c r="A1" s="18" t="s">
        <v>577</v>
      </c>
      <c r="B1" s="18"/>
    </row>
    <row r="3" customFormat="false" ht="15" hidden="false" customHeight="true" outlineLevel="0" collapsed="false">
      <c r="A3" s="5" t="s">
        <v>578</v>
      </c>
      <c r="B3" s="5" t="s">
        <v>579</v>
      </c>
    </row>
    <row r="4" customFormat="false" ht="15" hidden="false" customHeight="true" outlineLevel="0" collapsed="false">
      <c r="A4" s="6" t="s">
        <v>580</v>
      </c>
      <c r="B4" s="6" t="s">
        <v>581</v>
      </c>
    </row>
    <row r="5" customFormat="false" ht="15" hidden="false" customHeight="true" outlineLevel="0" collapsed="false">
      <c r="A5" s="6" t="s">
        <v>582</v>
      </c>
      <c r="B5" s="6" t="s">
        <v>583</v>
      </c>
    </row>
    <row r="6" customFormat="false" ht="15" hidden="false" customHeight="true" outlineLevel="0" collapsed="false">
      <c r="A6" s="6" t="s">
        <v>584</v>
      </c>
      <c r="B6" s="6" t="s">
        <v>585</v>
      </c>
    </row>
    <row r="7" customFormat="false" ht="15" hidden="false" customHeight="true" outlineLevel="0" collapsed="false">
      <c r="A7" s="6" t="s">
        <v>586</v>
      </c>
      <c r="B7" s="6" t="s">
        <v>587</v>
      </c>
    </row>
    <row r="8" customFormat="false" ht="27.75" hidden="false" customHeight="true" outlineLevel="0" collapsed="false">
      <c r="A8" s="6" t="s">
        <v>588</v>
      </c>
      <c r="B8" s="6" t="s">
        <v>589</v>
      </c>
    </row>
    <row r="9" customFormat="false" ht="27.75" hidden="false" customHeight="true" outlineLevel="0" collapsed="false">
      <c r="A9" s="6" t="s">
        <v>590</v>
      </c>
      <c r="B9" s="6" t="s">
        <v>591</v>
      </c>
    </row>
    <row r="10" customFormat="false" ht="15" hidden="false" customHeight="true" outlineLevel="0" collapsed="false">
      <c r="A10" s="6" t="s">
        <v>592</v>
      </c>
      <c r="B10" s="6" t="s">
        <v>593</v>
      </c>
    </row>
    <row r="12" customFormat="false" ht="15" hidden="false" customHeight="true" outlineLevel="0" collapsed="false">
      <c r="A12" s="1" t="s">
        <v>594</v>
      </c>
    </row>
    <row r="13" customFormat="false" ht="15" hidden="false" customHeight="true" outlineLevel="0" collapsed="false">
      <c r="A13" s="1" t="s">
        <v>595</v>
      </c>
      <c r="B13" s="1" t="s">
        <v>596</v>
      </c>
    </row>
    <row r="15" customFormat="false" ht="15" hidden="false" customHeight="true" outlineLevel="0" collapsed="false">
      <c r="A15" s="1" t="s">
        <v>597</v>
      </c>
    </row>
    <row r="16" customFormat="false" ht="124.5" hidden="false" customHeight="true" outlineLevel="0" collapsed="false">
      <c r="A16" s="1" t="s">
        <v>598</v>
      </c>
      <c r="B16" s="19" t="s">
        <v>599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7" min="5" style="1" width="12"/>
  </cols>
  <sheetData>
    <row r="1" customFormat="false" ht="17.25" hidden="false" customHeight="true" outlineLevel="0" collapsed="false">
      <c r="A1" s="20" t="s">
        <v>600</v>
      </c>
    </row>
    <row r="2" customFormat="false" ht="15" hidden="false" customHeight="true" outlineLevel="0" collapsed="false">
      <c r="A2" s="1" t="s">
        <v>601</v>
      </c>
    </row>
    <row r="3" customFormat="false" ht="15" hidden="false" customHeight="true" outlineLevel="0" collapsed="false">
      <c r="A3" s="21" t="s">
        <v>602</v>
      </c>
      <c r="B3" s="21"/>
      <c r="C3" s="21"/>
      <c r="D3" s="21"/>
      <c r="E3" s="21"/>
      <c r="F3" s="21"/>
      <c r="G3" s="21"/>
    </row>
    <row r="4" customFormat="false" ht="15" hidden="false" customHeight="true" outlineLevel="0" collapsed="false">
      <c r="A4" s="22"/>
      <c r="B4" s="22"/>
      <c r="C4" s="22"/>
      <c r="D4" s="22"/>
      <c r="E4" s="22"/>
      <c r="F4" s="22"/>
      <c r="G4" s="22"/>
    </row>
    <row r="5" customFormat="false" ht="15" hidden="false" customHeight="true" outlineLevel="0" collapsed="false">
      <c r="A5" s="22" t="s">
        <v>603</v>
      </c>
      <c r="B5" s="22" t="s">
        <v>56</v>
      </c>
      <c r="C5" s="22" t="s">
        <v>604</v>
      </c>
      <c r="D5" s="22" t="s">
        <v>605</v>
      </c>
      <c r="E5" s="22" t="s">
        <v>606</v>
      </c>
      <c r="F5" s="22" t="s">
        <v>607</v>
      </c>
      <c r="G5" s="22" t="s">
        <v>608</v>
      </c>
    </row>
    <row r="6" customFormat="false" ht="15" hidden="false" customHeight="true" outlineLevel="0" collapsed="false">
      <c r="A6" s="22" t="s">
        <v>331</v>
      </c>
      <c r="B6" s="22" t="s">
        <v>609</v>
      </c>
      <c r="C6" s="22" t="s">
        <v>610</v>
      </c>
      <c r="D6" s="22" t="s">
        <v>611</v>
      </c>
      <c r="E6" s="22" t="s">
        <v>612</v>
      </c>
      <c r="F6" s="22" t="s">
        <v>613</v>
      </c>
      <c r="G6" s="22" t="s">
        <v>614</v>
      </c>
    </row>
    <row r="7" customFormat="false" ht="15" hidden="false" customHeight="true" outlineLevel="0" collapsed="false">
      <c r="A7" s="22" t="s">
        <v>281</v>
      </c>
      <c r="B7" s="22" t="s">
        <v>609</v>
      </c>
      <c r="C7" s="22" t="s">
        <v>610</v>
      </c>
      <c r="D7" s="22" t="s">
        <v>611</v>
      </c>
      <c r="E7" s="22" t="s">
        <v>615</v>
      </c>
      <c r="F7" s="22" t="s">
        <v>616</v>
      </c>
      <c r="G7" s="22" t="s">
        <v>614</v>
      </c>
    </row>
    <row r="8" customFormat="false" ht="15" hidden="false" customHeight="true" outlineLevel="0" collapsed="false">
      <c r="A8" s="22" t="s">
        <v>291</v>
      </c>
      <c r="B8" s="22" t="s">
        <v>609</v>
      </c>
      <c r="C8" s="22" t="s">
        <v>617</v>
      </c>
      <c r="D8" s="22" t="s">
        <v>611</v>
      </c>
      <c r="E8" s="22" t="s">
        <v>618</v>
      </c>
      <c r="F8" s="22" t="s">
        <v>619</v>
      </c>
      <c r="G8" s="22" t="s">
        <v>620</v>
      </c>
    </row>
    <row r="9" customFormat="false" ht="15" hidden="false" customHeight="true" outlineLevel="0" collapsed="false">
      <c r="A9" s="22" t="s">
        <v>621</v>
      </c>
      <c r="B9" s="22" t="s">
        <v>609</v>
      </c>
      <c r="C9" s="22" t="s">
        <v>617</v>
      </c>
      <c r="D9" s="22" t="s">
        <v>611</v>
      </c>
      <c r="E9" s="22" t="s">
        <v>618</v>
      </c>
      <c r="F9" s="22" t="s">
        <v>619</v>
      </c>
      <c r="G9" s="22" t="s">
        <v>620</v>
      </c>
    </row>
    <row r="10" customFormat="false" ht="15" hidden="false" customHeight="true" outlineLevel="0" collapsed="false">
      <c r="A10" s="22" t="s">
        <v>277</v>
      </c>
      <c r="B10" s="22" t="s">
        <v>609</v>
      </c>
      <c r="C10" s="22" t="s">
        <v>617</v>
      </c>
      <c r="D10" s="22" t="s">
        <v>611</v>
      </c>
      <c r="E10" s="22" t="s">
        <v>618</v>
      </c>
      <c r="F10" s="22" t="s">
        <v>619</v>
      </c>
      <c r="G10" s="22" t="s">
        <v>620</v>
      </c>
    </row>
    <row r="11" customFormat="false" ht="15" hidden="false" customHeight="true" outlineLevel="0" collapsed="false">
      <c r="A11" s="22" t="s">
        <v>288</v>
      </c>
      <c r="B11" s="22" t="s">
        <v>609</v>
      </c>
      <c r="C11" s="22" t="s">
        <v>617</v>
      </c>
      <c r="D11" s="22" t="s">
        <v>611</v>
      </c>
      <c r="E11" s="22" t="s">
        <v>618</v>
      </c>
      <c r="F11" s="22" t="s">
        <v>619</v>
      </c>
      <c r="G11" s="22" t="s">
        <v>620</v>
      </c>
    </row>
    <row r="12" customFormat="false" ht="15" hidden="false" customHeight="true" outlineLevel="0" collapsed="false">
      <c r="A12" s="22" t="s">
        <v>297</v>
      </c>
      <c r="B12" s="22" t="s">
        <v>609</v>
      </c>
      <c r="C12" s="22" t="s">
        <v>617</v>
      </c>
      <c r="D12" s="22" t="s">
        <v>611</v>
      </c>
      <c r="E12" s="22" t="s">
        <v>618</v>
      </c>
      <c r="F12" s="22" t="s">
        <v>619</v>
      </c>
      <c r="G12" s="22" t="s">
        <v>620</v>
      </c>
    </row>
    <row r="13" customFormat="false" ht="15" hidden="false" customHeight="true" outlineLevel="0" collapsed="false">
      <c r="A13" s="22" t="s">
        <v>308</v>
      </c>
      <c r="B13" s="22" t="s">
        <v>609</v>
      </c>
      <c r="C13" s="22" t="s">
        <v>617</v>
      </c>
      <c r="D13" s="22" t="s">
        <v>611</v>
      </c>
      <c r="E13" s="22" t="s">
        <v>618</v>
      </c>
      <c r="F13" s="22" t="s">
        <v>619</v>
      </c>
      <c r="G13" s="22" t="s">
        <v>622</v>
      </c>
    </row>
    <row r="14" customFormat="false" ht="15" hidden="false" customHeight="true" outlineLevel="0" collapsed="false">
      <c r="A14" s="1" t="s">
        <v>300</v>
      </c>
      <c r="B14" s="1" t="s">
        <v>609</v>
      </c>
      <c r="C14" s="1" t="s">
        <v>617</v>
      </c>
      <c r="D14" s="1" t="s">
        <v>611</v>
      </c>
      <c r="E14" s="1" t="s">
        <v>618</v>
      </c>
      <c r="F14" s="1" t="s">
        <v>619</v>
      </c>
      <c r="G14" s="1" t="s">
        <v>620</v>
      </c>
    </row>
    <row r="15" customFormat="false" ht="15" hidden="false" customHeight="true" outlineLevel="0" collapsed="false">
      <c r="A15" s="1" t="s">
        <v>305</v>
      </c>
      <c r="B15" s="1" t="s">
        <v>609</v>
      </c>
      <c r="C15" s="1" t="s">
        <v>617</v>
      </c>
      <c r="D15" s="1" t="s">
        <v>611</v>
      </c>
      <c r="E15" s="1" t="s">
        <v>618</v>
      </c>
      <c r="F15" s="1" t="s">
        <v>619</v>
      </c>
      <c r="G15" s="1" t="s">
        <v>622</v>
      </c>
    </row>
    <row r="16" customFormat="false" ht="15" hidden="false" customHeight="true" outlineLevel="0" collapsed="false">
      <c r="A16" s="4"/>
    </row>
    <row r="18" customFormat="false" ht="15" hidden="false" customHeight="true" outlineLevel="0" collapsed="false">
      <c r="A18" s="1" t="s">
        <v>623</v>
      </c>
    </row>
    <row r="19" customFormat="false" ht="15" hidden="false" customHeight="true" outlineLevel="0" collapsed="false">
      <c r="A19" s="1" t="s">
        <v>624</v>
      </c>
      <c r="B19" s="1" t="n">
        <v>42</v>
      </c>
    </row>
    <row r="20" customFormat="false" ht="15" hidden="false" customHeight="true" outlineLevel="0" collapsed="false">
      <c r="A20" s="1" t="s">
        <v>625</v>
      </c>
      <c r="B20" s="1" t="n">
        <v>14</v>
      </c>
    </row>
    <row r="21" customFormat="false" ht="15" hidden="false" customHeight="true" outlineLevel="0" collapsed="false">
      <c r="A21" s="1" t="s">
        <v>626</v>
      </c>
      <c r="B21" s="1" t="n">
        <v>22</v>
      </c>
    </row>
    <row r="22" customFormat="false" ht="15" hidden="false" customHeight="true" outlineLevel="0" collapsed="false">
      <c r="A22" s="4"/>
    </row>
    <row r="23" customFormat="false" ht="15" hidden="false" customHeight="true" outlineLevel="0" collapsed="false">
      <c r="A23" s="1" t="s">
        <v>627</v>
      </c>
    </row>
    <row r="24" customFormat="false" ht="15" hidden="false" customHeight="true" outlineLevel="0" collapsed="false">
      <c r="A24" s="1" t="s">
        <v>628</v>
      </c>
    </row>
    <row r="25" customFormat="false" ht="15" hidden="false" customHeight="true" outlineLevel="0" collapsed="false">
      <c r="A25" s="1" t="s">
        <v>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50"/>
    <col collapsed="false" customWidth="true" hidden="false" outlineLevel="0" max="6" min="5" style="1" width="20"/>
  </cols>
  <sheetData>
    <row r="1" customFormat="false" ht="17.25" hidden="false" customHeight="true" outlineLevel="0" collapsed="false">
      <c r="A1" s="18" t="s">
        <v>630</v>
      </c>
      <c r="B1" s="18"/>
      <c r="C1" s="18"/>
      <c r="D1" s="18"/>
      <c r="E1" s="18"/>
      <c r="F1" s="18"/>
    </row>
    <row r="3" customFormat="false" ht="15" hidden="false" customHeight="true" outlineLevel="0" collapsed="false">
      <c r="A3" s="21" t="s">
        <v>603</v>
      </c>
      <c r="B3" s="21" t="s">
        <v>42</v>
      </c>
      <c r="C3" s="21" t="s">
        <v>532</v>
      </c>
      <c r="D3" s="21" t="s">
        <v>631</v>
      </c>
      <c r="E3" s="21" t="s">
        <v>632</v>
      </c>
      <c r="F3" s="21" t="s">
        <v>633</v>
      </c>
    </row>
    <row r="4" customFormat="false" ht="15" hidden="false" customHeight="true" outlineLevel="0" collapsed="false">
      <c r="A4" s="23" t="s">
        <v>331</v>
      </c>
      <c r="B4" s="23" t="s">
        <v>634</v>
      </c>
      <c r="C4" s="23" t="s">
        <v>635</v>
      </c>
      <c r="D4" s="23"/>
      <c r="E4" s="23" t="s">
        <v>636</v>
      </c>
      <c r="F4" s="23" t="s">
        <v>637</v>
      </c>
    </row>
    <row r="5" customFormat="false" ht="15" hidden="false" customHeight="true" outlineLevel="0" collapsed="false">
      <c r="A5" s="23" t="s">
        <v>331</v>
      </c>
      <c r="B5" s="23" t="s">
        <v>634</v>
      </c>
      <c r="C5" s="23" t="s">
        <v>635</v>
      </c>
      <c r="D5" s="23"/>
      <c r="E5" s="23" t="s">
        <v>638</v>
      </c>
      <c r="F5" s="23" t="s">
        <v>639</v>
      </c>
    </row>
    <row r="6" customFormat="false" ht="15" hidden="false" customHeight="true" outlineLevel="0" collapsed="false">
      <c r="A6" s="23" t="s">
        <v>331</v>
      </c>
      <c r="B6" s="23" t="s">
        <v>634</v>
      </c>
      <c r="C6" s="23" t="s">
        <v>635</v>
      </c>
      <c r="D6" s="23"/>
      <c r="E6" s="23" t="s">
        <v>640</v>
      </c>
      <c r="F6" s="23" t="s">
        <v>641</v>
      </c>
    </row>
    <row r="7" customFormat="false" ht="15" hidden="false" customHeight="true" outlineLevel="0" collapsed="false">
      <c r="A7" s="23" t="s">
        <v>331</v>
      </c>
      <c r="B7" s="23" t="s">
        <v>634</v>
      </c>
      <c r="C7" s="23" t="s">
        <v>635</v>
      </c>
      <c r="D7" s="23"/>
      <c r="E7" s="23" t="s">
        <v>642</v>
      </c>
      <c r="F7" s="23" t="s">
        <v>643</v>
      </c>
    </row>
    <row r="8" customFormat="false" ht="15" hidden="false" customHeight="true" outlineLevel="0" collapsed="false">
      <c r="A8" s="23" t="s">
        <v>331</v>
      </c>
      <c r="B8" s="23" t="s">
        <v>634</v>
      </c>
      <c r="C8" s="23" t="s">
        <v>635</v>
      </c>
      <c r="D8" s="23"/>
      <c r="E8" s="23" t="s">
        <v>644</v>
      </c>
      <c r="F8" s="23" t="s">
        <v>645</v>
      </c>
    </row>
    <row r="9" customFormat="false" ht="15" hidden="false" customHeight="true" outlineLevel="0" collapsed="false">
      <c r="A9" s="23" t="s">
        <v>331</v>
      </c>
      <c r="B9" s="23" t="s">
        <v>634</v>
      </c>
      <c r="C9" s="23" t="s">
        <v>635</v>
      </c>
      <c r="D9" s="23"/>
      <c r="E9" s="23" t="s">
        <v>646</v>
      </c>
      <c r="F9" s="23" t="s">
        <v>647</v>
      </c>
    </row>
    <row r="10" customFormat="false" ht="15" hidden="false" customHeight="true" outlineLevel="0" collapsed="false">
      <c r="A10" s="23" t="s">
        <v>331</v>
      </c>
      <c r="B10" s="23" t="s">
        <v>634</v>
      </c>
      <c r="C10" s="23" t="s">
        <v>635</v>
      </c>
      <c r="D10" s="23"/>
      <c r="E10" s="23" t="s">
        <v>648</v>
      </c>
      <c r="F10" s="23" t="s">
        <v>649</v>
      </c>
    </row>
    <row r="11" customFormat="false" ht="15" hidden="false" customHeight="true" outlineLevel="0" collapsed="false">
      <c r="A11" s="23" t="s">
        <v>331</v>
      </c>
      <c r="B11" s="23" t="s">
        <v>634</v>
      </c>
      <c r="C11" s="23" t="s">
        <v>635</v>
      </c>
      <c r="D11" s="23"/>
      <c r="E11" s="23" t="s">
        <v>650</v>
      </c>
      <c r="F11" s="23" t="s">
        <v>651</v>
      </c>
    </row>
    <row r="12" customFormat="false" ht="15" hidden="false" customHeight="true" outlineLevel="0" collapsed="false">
      <c r="A12" s="23" t="s">
        <v>331</v>
      </c>
      <c r="B12" s="23" t="s">
        <v>634</v>
      </c>
      <c r="C12" s="23" t="s">
        <v>635</v>
      </c>
      <c r="D12" s="23"/>
      <c r="E12" s="23" t="s">
        <v>652</v>
      </c>
      <c r="F12" s="23" t="s">
        <v>653</v>
      </c>
    </row>
    <row r="13" customFormat="false" ht="15" hidden="false" customHeight="true" outlineLevel="0" collapsed="false">
      <c r="A13" s="23" t="s">
        <v>331</v>
      </c>
      <c r="B13" s="23" t="s">
        <v>634</v>
      </c>
      <c r="C13" s="23" t="s">
        <v>635</v>
      </c>
      <c r="D13" s="23"/>
      <c r="E13" s="23" t="s">
        <v>654</v>
      </c>
      <c r="F13" s="23" t="s">
        <v>655</v>
      </c>
    </row>
    <row r="14" customFormat="false" ht="15" hidden="false" customHeight="true" outlineLevel="0" collapsed="false">
      <c r="A14" s="23" t="s">
        <v>331</v>
      </c>
      <c r="B14" s="23" t="s">
        <v>634</v>
      </c>
      <c r="C14" s="23" t="s">
        <v>635</v>
      </c>
      <c r="D14" s="23"/>
      <c r="E14" s="23" t="s">
        <v>656</v>
      </c>
      <c r="F14" s="23" t="s">
        <v>657</v>
      </c>
    </row>
    <row r="15" customFormat="false" ht="15" hidden="false" customHeight="true" outlineLevel="0" collapsed="false">
      <c r="A15" s="23" t="s">
        <v>331</v>
      </c>
      <c r="B15" s="23" t="s">
        <v>634</v>
      </c>
      <c r="C15" s="23" t="s">
        <v>635</v>
      </c>
      <c r="D15" s="23"/>
      <c r="E15" s="23" t="s">
        <v>658</v>
      </c>
      <c r="F15" s="23" t="s">
        <v>659</v>
      </c>
    </row>
    <row r="16" customFormat="false" ht="15" hidden="false" customHeight="true" outlineLevel="0" collapsed="false">
      <c r="A16" s="23" t="s">
        <v>331</v>
      </c>
      <c r="B16" s="23" t="s">
        <v>634</v>
      </c>
      <c r="C16" s="23" t="s">
        <v>635</v>
      </c>
      <c r="D16" s="23"/>
      <c r="E16" s="23" t="s">
        <v>660</v>
      </c>
      <c r="F16" s="23" t="s">
        <v>661</v>
      </c>
    </row>
    <row r="17" customFormat="false" ht="15" hidden="false" customHeight="true" outlineLevel="0" collapsed="false">
      <c r="A17" s="23" t="s">
        <v>281</v>
      </c>
      <c r="B17" s="23" t="s">
        <v>634</v>
      </c>
      <c r="C17" s="23" t="s">
        <v>635</v>
      </c>
      <c r="D17" s="23"/>
      <c r="E17" s="23" t="s">
        <v>662</v>
      </c>
      <c r="F17" s="23" t="s">
        <v>663</v>
      </c>
    </row>
    <row r="18" customFormat="false" ht="15" hidden="false" customHeight="true" outlineLevel="0" collapsed="false">
      <c r="A18" s="23" t="s">
        <v>331</v>
      </c>
      <c r="B18" s="23" t="s">
        <v>634</v>
      </c>
      <c r="C18" s="23" t="s">
        <v>635</v>
      </c>
      <c r="D18" s="23"/>
      <c r="E18" s="23" t="s">
        <v>664</v>
      </c>
      <c r="F18" s="23" t="s">
        <v>665</v>
      </c>
    </row>
    <row r="19" customFormat="false" ht="15" hidden="false" customHeight="true" outlineLevel="0" collapsed="false">
      <c r="A19" s="23" t="s">
        <v>331</v>
      </c>
      <c r="B19" s="23" t="s">
        <v>634</v>
      </c>
      <c r="C19" s="23" t="s">
        <v>635</v>
      </c>
      <c r="D19" s="23"/>
      <c r="E19" s="23" t="s">
        <v>666</v>
      </c>
      <c r="F19" s="23" t="s">
        <v>667</v>
      </c>
    </row>
    <row r="20" customFormat="false" ht="15" hidden="false" customHeight="true" outlineLevel="0" collapsed="false">
      <c r="A20" s="23" t="s">
        <v>281</v>
      </c>
      <c r="B20" s="23" t="s">
        <v>634</v>
      </c>
      <c r="C20" s="23" t="s">
        <v>635</v>
      </c>
      <c r="D20" s="23"/>
      <c r="E20" s="23" t="s">
        <v>668</v>
      </c>
      <c r="F20" s="23" t="s">
        <v>669</v>
      </c>
    </row>
    <row r="21" customFormat="false" ht="15" hidden="false" customHeight="true" outlineLevel="0" collapsed="false">
      <c r="A21" s="23" t="s">
        <v>331</v>
      </c>
      <c r="B21" s="23" t="s">
        <v>634</v>
      </c>
      <c r="C21" s="23" t="s">
        <v>635</v>
      </c>
      <c r="D21" s="23"/>
      <c r="E21" s="23" t="s">
        <v>668</v>
      </c>
      <c r="F21" s="23" t="s">
        <v>669</v>
      </c>
    </row>
    <row r="22" customFormat="false" ht="15" hidden="false" customHeight="true" outlineLevel="0" collapsed="false">
      <c r="A22" s="23" t="s">
        <v>331</v>
      </c>
      <c r="B22" s="23" t="s">
        <v>634</v>
      </c>
      <c r="C22" s="23" t="s">
        <v>635</v>
      </c>
      <c r="D22" s="23"/>
      <c r="E22" s="23" t="s">
        <v>670</v>
      </c>
      <c r="F22" s="23" t="s">
        <v>671</v>
      </c>
    </row>
    <row r="23" customFormat="false" ht="15" hidden="false" customHeight="true" outlineLevel="0" collapsed="false">
      <c r="A23" s="23" t="s">
        <v>331</v>
      </c>
      <c r="B23" s="23" t="s">
        <v>634</v>
      </c>
      <c r="C23" s="23" t="s">
        <v>635</v>
      </c>
      <c r="D23" s="23"/>
      <c r="E23" s="23" t="s">
        <v>672</v>
      </c>
      <c r="F23" s="23" t="s">
        <v>673</v>
      </c>
    </row>
    <row r="24" customFormat="false" ht="15" hidden="false" customHeight="true" outlineLevel="0" collapsed="false">
      <c r="A24" s="23" t="s">
        <v>331</v>
      </c>
      <c r="B24" s="23" t="s">
        <v>634</v>
      </c>
      <c r="C24" s="23" t="s">
        <v>635</v>
      </c>
      <c r="D24" s="23"/>
      <c r="E24" s="23" t="s">
        <v>674</v>
      </c>
      <c r="F24" s="23" t="s">
        <v>675</v>
      </c>
    </row>
    <row r="25" customFormat="false" ht="15" hidden="false" customHeight="true" outlineLevel="0" collapsed="false">
      <c r="A25" s="23" t="s">
        <v>331</v>
      </c>
      <c r="B25" s="23" t="s">
        <v>634</v>
      </c>
      <c r="C25" s="23" t="s">
        <v>635</v>
      </c>
      <c r="D25" s="23"/>
      <c r="E25" s="23" t="s">
        <v>676</v>
      </c>
      <c r="F25" s="23" t="s">
        <v>677</v>
      </c>
    </row>
    <row r="26" customFormat="false" ht="15" hidden="false" customHeight="true" outlineLevel="0" collapsed="false">
      <c r="A26" s="23" t="s">
        <v>331</v>
      </c>
      <c r="B26" s="23" t="s">
        <v>634</v>
      </c>
      <c r="C26" s="23" t="s">
        <v>635</v>
      </c>
      <c r="D26" s="23"/>
      <c r="E26" s="23" t="s">
        <v>678</v>
      </c>
      <c r="F26" s="23" t="s">
        <v>679</v>
      </c>
    </row>
    <row r="27" customFormat="false" ht="15" hidden="false" customHeight="true" outlineLevel="0" collapsed="false">
      <c r="A27" s="23" t="s">
        <v>331</v>
      </c>
      <c r="B27" s="23" t="s">
        <v>634</v>
      </c>
      <c r="C27" s="23" t="s">
        <v>635</v>
      </c>
      <c r="D27" s="23"/>
      <c r="E27" s="23" t="s">
        <v>680</v>
      </c>
      <c r="F27" s="23" t="s">
        <v>681</v>
      </c>
    </row>
    <row r="28" customFormat="false" ht="15" hidden="false" customHeight="true" outlineLevel="0" collapsed="false">
      <c r="A28" s="23" t="s">
        <v>331</v>
      </c>
      <c r="B28" s="23" t="s">
        <v>634</v>
      </c>
      <c r="C28" s="23" t="s">
        <v>635</v>
      </c>
      <c r="D28" s="23"/>
      <c r="E28" s="23" t="s">
        <v>682</v>
      </c>
      <c r="F28" s="23" t="s">
        <v>683</v>
      </c>
    </row>
    <row r="29" customFormat="false" ht="15" hidden="false" customHeight="true" outlineLevel="0" collapsed="false">
      <c r="A29" s="23" t="s">
        <v>331</v>
      </c>
      <c r="B29" s="23" t="s">
        <v>634</v>
      </c>
      <c r="C29" s="23" t="s">
        <v>635</v>
      </c>
      <c r="D29" s="23"/>
      <c r="E29" s="23" t="s">
        <v>684</v>
      </c>
      <c r="F29" s="23" t="s">
        <v>685</v>
      </c>
    </row>
    <row r="30" customFormat="false" ht="15" hidden="false" customHeight="true" outlineLevel="0" collapsed="false">
      <c r="A30" s="23" t="s">
        <v>331</v>
      </c>
      <c r="B30" s="23" t="s">
        <v>634</v>
      </c>
      <c r="C30" s="23" t="s">
        <v>635</v>
      </c>
      <c r="D30" s="23"/>
      <c r="E30" s="23" t="s">
        <v>686</v>
      </c>
      <c r="F30" s="23" t="s">
        <v>687</v>
      </c>
    </row>
    <row r="31" customFormat="false" ht="15" hidden="false" customHeight="true" outlineLevel="0" collapsed="false">
      <c r="A31" s="23" t="s">
        <v>331</v>
      </c>
      <c r="B31" s="23" t="s">
        <v>634</v>
      </c>
      <c r="C31" s="23" t="s">
        <v>635</v>
      </c>
      <c r="D31" s="23"/>
      <c r="E31" s="23" t="s">
        <v>688</v>
      </c>
      <c r="F31" s="23" t="s">
        <v>689</v>
      </c>
    </row>
    <row r="32" customFormat="false" ht="15" hidden="false" customHeight="true" outlineLevel="0" collapsed="false">
      <c r="A32" s="23" t="s">
        <v>331</v>
      </c>
      <c r="B32" s="23" t="s">
        <v>634</v>
      </c>
      <c r="C32" s="23" t="s">
        <v>635</v>
      </c>
      <c r="D32" s="23"/>
      <c r="E32" s="23" t="s">
        <v>690</v>
      </c>
      <c r="F32" s="23" t="s">
        <v>691</v>
      </c>
    </row>
    <row r="33" customFormat="false" ht="15" hidden="false" customHeight="true" outlineLevel="0" collapsed="false">
      <c r="A33" s="23" t="s">
        <v>331</v>
      </c>
      <c r="B33" s="23" t="s">
        <v>634</v>
      </c>
      <c r="C33" s="23" t="s">
        <v>635</v>
      </c>
      <c r="D33" s="23"/>
      <c r="E33" s="23" t="s">
        <v>692</v>
      </c>
      <c r="F33" s="23" t="s">
        <v>693</v>
      </c>
    </row>
    <row r="34" customFormat="false" ht="15" hidden="false" customHeight="true" outlineLevel="0" collapsed="false">
      <c r="A34" s="23" t="s">
        <v>331</v>
      </c>
      <c r="B34" s="23" t="s">
        <v>634</v>
      </c>
      <c r="C34" s="23" t="s">
        <v>635</v>
      </c>
      <c r="D34" s="23"/>
      <c r="E34" s="23" t="s">
        <v>694</v>
      </c>
      <c r="F34" s="23" t="s">
        <v>695</v>
      </c>
    </row>
    <row r="35" customFormat="false" ht="15" hidden="false" customHeight="true" outlineLevel="0" collapsed="false">
      <c r="A35" s="23" t="s">
        <v>331</v>
      </c>
      <c r="B35" s="23" t="s">
        <v>634</v>
      </c>
      <c r="C35" s="23" t="s">
        <v>635</v>
      </c>
      <c r="D35" s="23"/>
      <c r="E35" s="23" t="s">
        <v>696</v>
      </c>
      <c r="F35" s="23" t="s">
        <v>697</v>
      </c>
    </row>
    <row r="36" customFormat="false" ht="15" hidden="false" customHeight="true" outlineLevel="0" collapsed="false">
      <c r="A36" s="23" t="s">
        <v>331</v>
      </c>
      <c r="B36" s="23" t="s">
        <v>634</v>
      </c>
      <c r="C36" s="23" t="s">
        <v>635</v>
      </c>
      <c r="D36" s="23"/>
      <c r="E36" s="23" t="s">
        <v>698</v>
      </c>
      <c r="F36" s="23" t="s">
        <v>699</v>
      </c>
    </row>
    <row r="37" customFormat="false" ht="15" hidden="false" customHeight="true" outlineLevel="0" collapsed="false">
      <c r="A37" s="23" t="s">
        <v>331</v>
      </c>
      <c r="B37" s="23" t="s">
        <v>634</v>
      </c>
      <c r="C37" s="23" t="s">
        <v>700</v>
      </c>
      <c r="D37" s="23"/>
      <c r="E37" s="23" t="s">
        <v>701</v>
      </c>
      <c r="F37" s="23" t="s">
        <v>702</v>
      </c>
    </row>
    <row r="38" customFormat="false" ht="15" hidden="false" customHeight="true" outlineLevel="0" collapsed="false">
      <c r="A38" s="24" t="s">
        <v>331</v>
      </c>
      <c r="B38" s="24" t="s">
        <v>703</v>
      </c>
      <c r="C38" s="24" t="s">
        <v>704</v>
      </c>
      <c r="D38" s="24" t="s">
        <v>705</v>
      </c>
      <c r="E38" s="24" t="s">
        <v>706</v>
      </c>
      <c r="F38" s="24" t="s">
        <v>707</v>
      </c>
    </row>
    <row r="39" customFormat="false" ht="15" hidden="false" customHeight="true" outlineLevel="0" collapsed="false">
      <c r="A39" s="24" t="s">
        <v>331</v>
      </c>
      <c r="B39" s="24" t="s">
        <v>703</v>
      </c>
      <c r="C39" s="24" t="s">
        <v>708</v>
      </c>
      <c r="D39" s="24" t="s">
        <v>705</v>
      </c>
      <c r="E39" s="24" t="s">
        <v>709</v>
      </c>
      <c r="F39" s="24" t="s">
        <v>710</v>
      </c>
    </row>
    <row r="40" customFormat="false" ht="15" hidden="false" customHeight="true" outlineLevel="0" collapsed="false">
      <c r="A40" s="23" t="s">
        <v>331</v>
      </c>
      <c r="B40" s="23" t="s">
        <v>634</v>
      </c>
      <c r="C40" s="23" t="s">
        <v>635</v>
      </c>
      <c r="D40" s="23"/>
      <c r="E40" s="23" t="s">
        <v>711</v>
      </c>
      <c r="F40" s="23" t="s">
        <v>712</v>
      </c>
    </row>
    <row r="41" customFormat="false" ht="15" hidden="false" customHeight="true" outlineLevel="0" collapsed="false">
      <c r="A41" s="23" t="s">
        <v>331</v>
      </c>
      <c r="B41" s="23" t="s">
        <v>634</v>
      </c>
      <c r="C41" s="23" t="s">
        <v>635</v>
      </c>
      <c r="D41" s="23"/>
      <c r="E41" s="23" t="s">
        <v>713</v>
      </c>
      <c r="F41" s="23" t="s">
        <v>714</v>
      </c>
    </row>
    <row r="42" customFormat="false" ht="15" hidden="false" customHeight="true" outlineLevel="0" collapsed="false">
      <c r="A42" s="23" t="s">
        <v>331</v>
      </c>
      <c r="B42" s="23" t="s">
        <v>634</v>
      </c>
      <c r="C42" s="23" t="s">
        <v>635</v>
      </c>
      <c r="D42" s="23"/>
      <c r="E42" s="23" t="s">
        <v>715</v>
      </c>
      <c r="F42" s="23" t="s">
        <v>716</v>
      </c>
    </row>
    <row r="43" customFormat="false" ht="15" hidden="false" customHeight="true" outlineLevel="0" collapsed="false">
      <c r="A43" s="23" t="s">
        <v>331</v>
      </c>
      <c r="B43" s="23" t="s">
        <v>634</v>
      </c>
      <c r="C43" s="23" t="s">
        <v>635</v>
      </c>
      <c r="D43" s="23"/>
      <c r="E43" s="23" t="s">
        <v>717</v>
      </c>
      <c r="F43" s="23" t="s">
        <v>718</v>
      </c>
    </row>
    <row r="44" customFormat="false" ht="15" hidden="false" customHeight="true" outlineLevel="0" collapsed="false">
      <c r="A44" s="24" t="s">
        <v>331</v>
      </c>
      <c r="B44" s="24" t="s">
        <v>703</v>
      </c>
      <c r="C44" s="24" t="s">
        <v>719</v>
      </c>
      <c r="D44" s="24" t="s">
        <v>705</v>
      </c>
      <c r="E44" s="24" t="s">
        <v>720</v>
      </c>
      <c r="F44" s="24" t="s">
        <v>717</v>
      </c>
    </row>
    <row r="45" customFormat="false" ht="15" hidden="false" customHeight="true" outlineLevel="0" collapsed="false">
      <c r="A45" s="24" t="s">
        <v>331</v>
      </c>
      <c r="B45" s="24" t="s">
        <v>703</v>
      </c>
      <c r="C45" s="24" t="s">
        <v>708</v>
      </c>
      <c r="D45" s="24" t="s">
        <v>705</v>
      </c>
      <c r="E45" s="24" t="s">
        <v>721</v>
      </c>
      <c r="F45" s="24" t="s">
        <v>720</v>
      </c>
    </row>
    <row r="46" customFormat="false" ht="15" hidden="false" customHeight="true" outlineLevel="0" collapsed="false">
      <c r="A46" s="24" t="s">
        <v>331</v>
      </c>
      <c r="B46" s="24" t="s">
        <v>703</v>
      </c>
      <c r="C46" s="24" t="s">
        <v>704</v>
      </c>
      <c r="D46" s="24" t="s">
        <v>705</v>
      </c>
      <c r="E46" s="24" t="s">
        <v>722</v>
      </c>
      <c r="F46" s="24" t="s">
        <v>721</v>
      </c>
    </row>
    <row r="47" customFormat="false" ht="15" hidden="false" customHeight="true" outlineLevel="0" collapsed="false">
      <c r="A47" s="24" t="s">
        <v>331</v>
      </c>
      <c r="B47" s="24" t="s">
        <v>703</v>
      </c>
      <c r="C47" s="24" t="s">
        <v>723</v>
      </c>
      <c r="D47" s="24" t="s">
        <v>705</v>
      </c>
      <c r="E47" s="24" t="s">
        <v>724</v>
      </c>
      <c r="F47" s="24" t="s">
        <v>722</v>
      </c>
    </row>
    <row r="48" customFormat="false" ht="15" hidden="false" customHeight="true" outlineLevel="0" collapsed="false">
      <c r="A48" s="24" t="s">
        <v>331</v>
      </c>
      <c r="B48" s="24" t="s">
        <v>703</v>
      </c>
      <c r="C48" s="24" t="s">
        <v>708</v>
      </c>
      <c r="D48" s="24" t="s">
        <v>705</v>
      </c>
      <c r="E48" s="24" t="s">
        <v>725</v>
      </c>
      <c r="F48" s="24" t="s">
        <v>724</v>
      </c>
    </row>
    <row r="49" customFormat="false" ht="15" hidden="false" customHeight="true" outlineLevel="0" collapsed="false">
      <c r="A49" s="24" t="s">
        <v>331</v>
      </c>
      <c r="B49" s="24" t="s">
        <v>703</v>
      </c>
      <c r="C49" s="24" t="s">
        <v>704</v>
      </c>
      <c r="D49" s="24" t="s">
        <v>705</v>
      </c>
      <c r="E49" s="24" t="s">
        <v>726</v>
      </c>
      <c r="F49" s="24" t="s">
        <v>727</v>
      </c>
    </row>
    <row r="50" customFormat="false" ht="15" hidden="false" customHeight="true" outlineLevel="0" collapsed="false">
      <c r="A50" s="24" t="s">
        <v>331</v>
      </c>
      <c r="B50" s="24" t="s">
        <v>703</v>
      </c>
      <c r="C50" s="24" t="s">
        <v>728</v>
      </c>
      <c r="D50" s="24" t="s">
        <v>705</v>
      </c>
      <c r="E50" s="24" t="s">
        <v>729</v>
      </c>
      <c r="F50" s="24" t="s">
        <v>730</v>
      </c>
    </row>
    <row r="51" customFormat="false" ht="15" hidden="false" customHeight="true" outlineLevel="0" collapsed="false">
      <c r="A51" s="24" t="s">
        <v>331</v>
      </c>
      <c r="B51" s="24" t="s">
        <v>703</v>
      </c>
      <c r="C51" s="24" t="s">
        <v>731</v>
      </c>
      <c r="D51" s="24" t="s">
        <v>705</v>
      </c>
      <c r="E51" s="24" t="s">
        <v>732</v>
      </c>
      <c r="F51" s="24" t="s">
        <v>733</v>
      </c>
    </row>
    <row r="52" customFormat="false" ht="15" hidden="false" customHeight="true" outlineLevel="0" collapsed="false">
      <c r="A52" s="24" t="s">
        <v>331</v>
      </c>
      <c r="B52" s="24" t="s">
        <v>703</v>
      </c>
      <c r="C52" s="24" t="s">
        <v>708</v>
      </c>
      <c r="D52" s="24" t="s">
        <v>705</v>
      </c>
      <c r="E52" s="24" t="s">
        <v>734</v>
      </c>
      <c r="F52" s="24" t="s">
        <v>735</v>
      </c>
    </row>
    <row r="53" customFormat="false" ht="15" hidden="false" customHeight="true" outlineLevel="0" collapsed="false">
      <c r="A53" s="24" t="s">
        <v>331</v>
      </c>
      <c r="B53" s="24" t="s">
        <v>703</v>
      </c>
      <c r="C53" s="24" t="s">
        <v>728</v>
      </c>
      <c r="D53" s="24" t="s">
        <v>705</v>
      </c>
      <c r="E53" s="24" t="s">
        <v>736</v>
      </c>
      <c r="F53" s="24" t="s">
        <v>734</v>
      </c>
    </row>
    <row r="54" customFormat="false" ht="15" hidden="false" customHeight="true" outlineLevel="0" collapsed="false">
      <c r="A54" s="24" t="s">
        <v>331</v>
      </c>
      <c r="B54" s="24" t="s">
        <v>703</v>
      </c>
      <c r="C54" s="24" t="s">
        <v>737</v>
      </c>
      <c r="D54" s="24" t="s">
        <v>705</v>
      </c>
      <c r="E54" s="24" t="s">
        <v>738</v>
      </c>
      <c r="F54" s="24" t="s">
        <v>739</v>
      </c>
    </row>
    <row r="55" customFormat="false" ht="15" hidden="false" customHeight="true" outlineLevel="0" collapsed="false">
      <c r="A55" s="24" t="s">
        <v>331</v>
      </c>
      <c r="B55" s="24" t="s">
        <v>703</v>
      </c>
      <c r="C55" s="24" t="s">
        <v>708</v>
      </c>
      <c r="D55" s="24" t="s">
        <v>705</v>
      </c>
      <c r="E55" s="24" t="s">
        <v>740</v>
      </c>
      <c r="F55" s="24" t="s">
        <v>741</v>
      </c>
    </row>
    <row r="56" customFormat="false" ht="15" hidden="false" customHeight="true" outlineLevel="0" collapsed="false">
      <c r="A56" s="24" t="s">
        <v>331</v>
      </c>
      <c r="B56" s="24" t="s">
        <v>703</v>
      </c>
      <c r="C56" s="24" t="s">
        <v>704</v>
      </c>
      <c r="D56" s="24" t="s">
        <v>705</v>
      </c>
      <c r="E56" s="24" t="s">
        <v>742</v>
      </c>
      <c r="F56" s="24" t="s">
        <v>743</v>
      </c>
    </row>
    <row r="57" customFormat="false" ht="15" hidden="false" customHeight="true" outlineLevel="0" collapsed="false">
      <c r="A57" s="24" t="s">
        <v>331</v>
      </c>
      <c r="B57" s="24" t="s">
        <v>703</v>
      </c>
      <c r="C57" s="24" t="s">
        <v>744</v>
      </c>
      <c r="D57" s="24" t="s">
        <v>705</v>
      </c>
      <c r="E57" s="24" t="s">
        <v>745</v>
      </c>
      <c r="F57" s="24" t="s">
        <v>746</v>
      </c>
    </row>
    <row r="58" customFormat="false" ht="15" hidden="false" customHeight="true" outlineLevel="0" collapsed="false">
      <c r="A58" s="24" t="s">
        <v>331</v>
      </c>
      <c r="B58" s="24" t="s">
        <v>703</v>
      </c>
      <c r="C58" s="24" t="s">
        <v>728</v>
      </c>
      <c r="D58" s="24" t="s">
        <v>705</v>
      </c>
      <c r="E58" s="24" t="s">
        <v>747</v>
      </c>
      <c r="F58" s="24" t="s">
        <v>745</v>
      </c>
    </row>
    <row r="59" customFormat="false" ht="15" hidden="false" customHeight="true" outlineLevel="0" collapsed="false">
      <c r="A59" s="24" t="s">
        <v>331</v>
      </c>
      <c r="B59" s="24" t="s">
        <v>703</v>
      </c>
      <c r="C59" s="24" t="s">
        <v>719</v>
      </c>
      <c r="D59" s="24" t="s">
        <v>705</v>
      </c>
      <c r="E59" s="24" t="s">
        <v>748</v>
      </c>
      <c r="F59" s="24" t="s">
        <v>749</v>
      </c>
    </row>
    <row r="60" customFormat="false" ht="15" hidden="false" customHeight="true" outlineLevel="0" collapsed="false">
      <c r="A60" s="24" t="s">
        <v>331</v>
      </c>
      <c r="B60" s="24" t="s">
        <v>703</v>
      </c>
      <c r="C60" s="24" t="s">
        <v>750</v>
      </c>
      <c r="D60" s="24" t="s">
        <v>705</v>
      </c>
      <c r="E60" s="24" t="s">
        <v>751</v>
      </c>
      <c r="F60" s="24" t="s">
        <v>752</v>
      </c>
    </row>
    <row r="61" customFormat="false" ht="15" hidden="false" customHeight="true" outlineLevel="0" collapsed="false">
      <c r="A61" s="24" t="s">
        <v>331</v>
      </c>
      <c r="B61" s="24" t="s">
        <v>703</v>
      </c>
      <c r="C61" s="24" t="s">
        <v>723</v>
      </c>
      <c r="D61" s="24" t="s">
        <v>705</v>
      </c>
      <c r="E61" s="24" t="s">
        <v>753</v>
      </c>
      <c r="F61" s="24" t="s">
        <v>751</v>
      </c>
    </row>
    <row r="62" customFormat="false" ht="15" hidden="false" customHeight="true" outlineLevel="0" collapsed="false">
      <c r="A62" s="24" t="s">
        <v>331</v>
      </c>
      <c r="B62" s="24" t="s">
        <v>703</v>
      </c>
      <c r="C62" s="24" t="s">
        <v>708</v>
      </c>
      <c r="D62" s="24" t="s">
        <v>705</v>
      </c>
      <c r="E62" s="24" t="s">
        <v>754</v>
      </c>
      <c r="F62" s="24" t="s">
        <v>753</v>
      </c>
    </row>
    <row r="63" customFormat="false" ht="15" hidden="false" customHeight="true" outlineLevel="0" collapsed="false">
      <c r="A63" s="24" t="s">
        <v>331</v>
      </c>
      <c r="B63" s="24" t="s">
        <v>703</v>
      </c>
      <c r="C63" s="24" t="s">
        <v>755</v>
      </c>
      <c r="D63" s="24" t="s">
        <v>705</v>
      </c>
      <c r="E63" s="24" t="s">
        <v>756</v>
      </c>
      <c r="F63" s="24" t="s">
        <v>757</v>
      </c>
    </row>
    <row r="64" customFormat="false" ht="15" hidden="false" customHeight="true" outlineLevel="0" collapsed="false">
      <c r="A64" s="24" t="s">
        <v>331</v>
      </c>
      <c r="B64" s="24" t="s">
        <v>703</v>
      </c>
      <c r="C64" s="24" t="s">
        <v>758</v>
      </c>
      <c r="D64" s="24" t="s">
        <v>705</v>
      </c>
      <c r="E64" s="24" t="s">
        <v>759</v>
      </c>
      <c r="F64" s="24" t="s">
        <v>756</v>
      </c>
    </row>
    <row r="65" customFormat="false" ht="15" hidden="false" customHeight="true" outlineLevel="0" collapsed="false">
      <c r="A65" s="24" t="s">
        <v>331</v>
      </c>
      <c r="B65" s="24" t="s">
        <v>703</v>
      </c>
      <c r="C65" s="24" t="s">
        <v>760</v>
      </c>
      <c r="D65" s="24" t="s">
        <v>705</v>
      </c>
      <c r="E65" s="24" t="s">
        <v>761</v>
      </c>
      <c r="F65" s="24" t="s">
        <v>762</v>
      </c>
    </row>
    <row r="66" customFormat="false" ht="15" hidden="false" customHeight="true" outlineLevel="0" collapsed="false">
      <c r="A66" s="24" t="s">
        <v>331</v>
      </c>
      <c r="B66" s="24" t="s">
        <v>703</v>
      </c>
      <c r="C66" s="24" t="s">
        <v>708</v>
      </c>
      <c r="D66" s="24" t="s">
        <v>705</v>
      </c>
      <c r="E66" s="24" t="s">
        <v>763</v>
      </c>
      <c r="F66" s="24" t="s">
        <v>761</v>
      </c>
    </row>
    <row r="67" customFormat="false" ht="15" hidden="false" customHeight="true" outlineLevel="0" collapsed="false">
      <c r="A67" s="24" t="s">
        <v>331</v>
      </c>
      <c r="B67" s="24" t="s">
        <v>703</v>
      </c>
      <c r="C67" s="24" t="s">
        <v>764</v>
      </c>
      <c r="D67" s="24" t="s">
        <v>705</v>
      </c>
      <c r="E67" s="24" t="s">
        <v>765</v>
      </c>
      <c r="F67" s="24" t="s">
        <v>766</v>
      </c>
    </row>
    <row r="68" customFormat="false" ht="15" hidden="false" customHeight="true" outlineLevel="0" collapsed="false">
      <c r="A68" s="24" t="s">
        <v>331</v>
      </c>
      <c r="B68" s="24" t="s">
        <v>703</v>
      </c>
      <c r="C68" s="24" t="s">
        <v>728</v>
      </c>
      <c r="D68" s="24" t="s">
        <v>705</v>
      </c>
      <c r="E68" s="24" t="s">
        <v>767</v>
      </c>
      <c r="F68" s="24" t="s">
        <v>768</v>
      </c>
    </row>
    <row r="69" customFormat="false" ht="15" hidden="false" customHeight="true" outlineLevel="0" collapsed="false">
      <c r="A69" s="23" t="s">
        <v>331</v>
      </c>
      <c r="B69" s="23" t="s">
        <v>634</v>
      </c>
      <c r="C69" s="23" t="s">
        <v>635</v>
      </c>
      <c r="D69" s="23"/>
      <c r="E69" s="23" t="s">
        <v>769</v>
      </c>
      <c r="F69" s="23" t="s">
        <v>770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2026-04-15T13:16:10Z</dcterms:created>
  <dc:creator>openpyxl</dc:creator>
  <dc:description/>
  <dc:language>en-US</dc:language>
  <cp:lastModifiedBy>Malik Hassan</cp:lastModifiedBy>
  <dcterms:modified xsi:type="dcterms:W3CDTF">2026-04-18T11:02:50Z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